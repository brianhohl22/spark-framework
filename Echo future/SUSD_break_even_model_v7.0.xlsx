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0" documentId="8_{9C8119F3-5950-4174-835B-748956EEFCD5}" xr6:coauthVersionLast="47" xr6:coauthVersionMax="47" xr10:uidLastSave="{C99C2396-3440-4817-98D7-A2986CD3CB16}"/>
  <bookViews>
    <workbookView xWindow="-110" yWindow="-110" windowWidth="19420" windowHeight="10300" activeTab="1" xr2:uid="{00000000-000D-0000-FFFF-FFFF00000000}"/>
  </bookViews>
  <sheets>
    <sheet name="Summary" sheetId="15" r:id="rId1"/>
    <sheet name="Control_Center" sheetId="14" r:id="rId2"/>
    <sheet name="Dashboard" sheetId="7" r:id="rId3"/>
    <sheet name="Definitions_Sources" sheetId="9" r:id="rId4"/>
    <sheet name="Q&amp;A" sheetId="16" r:id="rId5"/>
    <sheet name="MultiYear_ProForma" sheetId="5" r:id="rId6"/>
    <sheet name="BaselineCalc" sheetId="3" r:id="rId7"/>
    <sheet name="YearMap" sheetId="4" r:id="rId8"/>
    <sheet name="Scenarios" sheetId="6" r:id="rId9"/>
    <sheet name="Other_Parameters" sheetId="1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3" l="1"/>
  <c r="I2" i="4" s="1"/>
  <c r="B11" i="6"/>
  <c r="J11" i="7"/>
  <c r="J14" i="7"/>
  <c r="J8" i="7"/>
  <c r="J12" i="7"/>
  <c r="J10" i="7"/>
  <c r="J9" i="7"/>
  <c r="J6" i="7"/>
  <c r="J13" i="7"/>
  <c r="J5" i="7"/>
  <c r="J7" i="7"/>
  <c r="J3" i="7"/>
  <c r="J4" i="7"/>
  <c r="J2" i="7"/>
  <c r="I11" i="7"/>
  <c r="I14" i="7"/>
  <c r="I8" i="7"/>
  <c r="I12" i="7"/>
  <c r="I10" i="7"/>
  <c r="I9" i="7"/>
  <c r="I6" i="7"/>
  <c r="I13" i="7"/>
  <c r="I5" i="7"/>
  <c r="I7" i="7"/>
  <c r="I3" i="7"/>
  <c r="I4" i="7"/>
  <c r="I2" i="7"/>
  <c r="B23" i="3"/>
  <c r="B22" i="3"/>
  <c r="C14" i="14"/>
  <c r="B3" i="3"/>
  <c r="B4" i="3"/>
  <c r="B5" i="3"/>
  <c r="B6" i="3"/>
  <c r="B7" i="3"/>
  <c r="B8" i="3"/>
  <c r="B2" i="3"/>
  <c r="F3" i="4"/>
  <c r="G3" i="4"/>
  <c r="Q23" i="5" s="1"/>
  <c r="F4" i="4"/>
  <c r="G4" i="4"/>
  <c r="F5" i="4"/>
  <c r="G5" i="4"/>
  <c r="Q60" i="5" s="1"/>
  <c r="F6" i="4"/>
  <c r="Q56" i="5" s="1"/>
  <c r="G6" i="4"/>
  <c r="G2" i="4"/>
  <c r="Q57" i="5" s="1"/>
  <c r="F2" i="4"/>
  <c r="Q52" i="5" s="1"/>
  <c r="E3" i="4"/>
  <c r="P48" i="5" s="1"/>
  <c r="E4" i="4"/>
  <c r="E5" i="4"/>
  <c r="E6" i="4"/>
  <c r="P56" i="5" s="1"/>
  <c r="E2" i="4"/>
  <c r="B2" i="13"/>
  <c r="B3" i="6"/>
  <c r="B4" i="6"/>
  <c r="B5" i="6"/>
  <c r="B6" i="6"/>
  <c r="B7" i="6"/>
  <c r="B8" i="6"/>
  <c r="B9" i="6"/>
  <c r="B10" i="6"/>
  <c r="B12" i="6"/>
  <c r="B13" i="6"/>
  <c r="B2" i="6"/>
  <c r="C5" i="6"/>
  <c r="D5" i="6"/>
  <c r="E5" i="6"/>
  <c r="F5" i="6"/>
  <c r="G5" i="6"/>
  <c r="C6" i="6"/>
  <c r="J6" i="6" s="1"/>
  <c r="D6" i="6"/>
  <c r="T22" i="5" s="1"/>
  <c r="E6" i="6"/>
  <c r="F6" i="6"/>
  <c r="G6" i="6"/>
  <c r="K22" i="5" s="1"/>
  <c r="C7" i="6"/>
  <c r="M7" i="6" s="1"/>
  <c r="D7" i="6"/>
  <c r="T27" i="5" s="1"/>
  <c r="E7" i="6"/>
  <c r="F7" i="6"/>
  <c r="G7" i="6"/>
  <c r="K31" i="5" s="1"/>
  <c r="C8" i="6"/>
  <c r="D8" i="6"/>
  <c r="C50" i="6" s="1"/>
  <c r="E8" i="6"/>
  <c r="D46" i="6" s="1"/>
  <c r="F8" i="6"/>
  <c r="G8" i="6"/>
  <c r="K32" i="5" s="1"/>
  <c r="C9" i="6"/>
  <c r="I9" i="6" s="1"/>
  <c r="M37" i="5" s="1"/>
  <c r="D9" i="6"/>
  <c r="C54" i="6" s="1"/>
  <c r="E9" i="6"/>
  <c r="D54" i="6" s="1"/>
  <c r="F9" i="6"/>
  <c r="G9" i="6"/>
  <c r="C10" i="6"/>
  <c r="K10" i="6" s="1"/>
  <c r="D10" i="6"/>
  <c r="C58" i="6" s="1"/>
  <c r="E10" i="6"/>
  <c r="F10" i="6"/>
  <c r="G10" i="6"/>
  <c r="K46" i="5" s="1"/>
  <c r="C11" i="6"/>
  <c r="K11" i="6" s="1"/>
  <c r="D11" i="6"/>
  <c r="C65" i="6" s="1"/>
  <c r="E11" i="6"/>
  <c r="F11" i="6"/>
  <c r="G11" i="6"/>
  <c r="K51" i="5" s="1"/>
  <c r="C12" i="6"/>
  <c r="K12" i="6" s="1"/>
  <c r="D12" i="6"/>
  <c r="E12" i="6"/>
  <c r="D67" i="6" s="1"/>
  <c r="F12" i="6"/>
  <c r="G12" i="6"/>
  <c r="C13" i="6"/>
  <c r="D13" i="6"/>
  <c r="E13" i="6"/>
  <c r="D74" i="6" s="1"/>
  <c r="F13" i="6"/>
  <c r="G13" i="6"/>
  <c r="C3" i="6"/>
  <c r="L3" i="6" s="1"/>
  <c r="D24" i="6" s="1"/>
  <c r="D3" i="6"/>
  <c r="T7" i="5" s="1"/>
  <c r="E3" i="6"/>
  <c r="F3" i="6"/>
  <c r="G3" i="6"/>
  <c r="K7" i="5" s="1"/>
  <c r="C4" i="6"/>
  <c r="K4" i="6" s="1"/>
  <c r="D4" i="6"/>
  <c r="T12" i="5" s="1"/>
  <c r="E4" i="6"/>
  <c r="F4" i="6"/>
  <c r="G4" i="6"/>
  <c r="K16" i="5" s="1"/>
  <c r="D2" i="6"/>
  <c r="E2" i="6"/>
  <c r="F2" i="6"/>
  <c r="G2" i="6"/>
  <c r="K3" i="5" s="1"/>
  <c r="C2" i="6"/>
  <c r="L2" i="6" s="1"/>
  <c r="N11" i="7"/>
  <c r="N5" i="7"/>
  <c r="N8" i="7"/>
  <c r="N13" i="7"/>
  <c r="N12" i="7"/>
  <c r="N3" i="7"/>
  <c r="N6" i="7"/>
  <c r="N10" i="7"/>
  <c r="N7" i="7"/>
  <c r="N9" i="7"/>
  <c r="N4" i="7"/>
  <c r="N14" i="7"/>
  <c r="B4" i="7"/>
  <c r="B9" i="7"/>
  <c r="B7" i="7"/>
  <c r="B10" i="7"/>
  <c r="B6" i="7"/>
  <c r="B3" i="7"/>
  <c r="B12" i="7"/>
  <c r="B13" i="7"/>
  <c r="B8" i="7"/>
  <c r="B5" i="7"/>
  <c r="B11" i="7"/>
  <c r="B14" i="7"/>
  <c r="I75" i="6"/>
  <c r="A75" i="6"/>
  <c r="I74" i="6"/>
  <c r="A74" i="6"/>
  <c r="A73" i="6"/>
  <c r="I73" i="6" s="1"/>
  <c r="I72" i="6"/>
  <c r="A72" i="6"/>
  <c r="A71" i="6"/>
  <c r="I71" i="6" s="1"/>
  <c r="A70" i="6"/>
  <c r="I70" i="6" s="1"/>
  <c r="A69" i="6"/>
  <c r="I69" i="6" s="1"/>
  <c r="A68" i="6"/>
  <c r="I68" i="6" s="1"/>
  <c r="A67" i="6"/>
  <c r="I67" i="6" s="1"/>
  <c r="A66" i="6"/>
  <c r="I66" i="6" s="1"/>
  <c r="A65" i="6"/>
  <c r="I65" i="6" s="1"/>
  <c r="I64" i="6"/>
  <c r="A64" i="6"/>
  <c r="I63" i="6"/>
  <c r="C63" i="6"/>
  <c r="A63" i="6"/>
  <c r="C62" i="6"/>
  <c r="A62" i="6"/>
  <c r="I62" i="6" s="1"/>
  <c r="C61" i="6"/>
  <c r="A61" i="6"/>
  <c r="I61" i="6" s="1"/>
  <c r="I60" i="6"/>
  <c r="A60" i="6"/>
  <c r="A59" i="6"/>
  <c r="I59" i="6" s="1"/>
  <c r="A58" i="6"/>
  <c r="I58" i="6" s="1"/>
  <c r="A57" i="6"/>
  <c r="I57" i="6" s="1"/>
  <c r="A56" i="6"/>
  <c r="I56" i="6" s="1"/>
  <c r="I55" i="6"/>
  <c r="A55" i="6"/>
  <c r="I54" i="6"/>
  <c r="A54" i="6"/>
  <c r="I53" i="6"/>
  <c r="A53" i="6"/>
  <c r="I52" i="6"/>
  <c r="A52" i="6"/>
  <c r="I51" i="6"/>
  <c r="A51" i="6"/>
  <c r="I50" i="6"/>
  <c r="A50" i="6"/>
  <c r="I49" i="6"/>
  <c r="C49" i="6"/>
  <c r="A49" i="6"/>
  <c r="I48" i="6"/>
  <c r="A48" i="6"/>
  <c r="I47" i="6"/>
  <c r="D47" i="6"/>
  <c r="C47" i="6"/>
  <c r="A47" i="6"/>
  <c r="I46" i="6"/>
  <c r="C46" i="6"/>
  <c r="A46" i="6"/>
  <c r="A45" i="6"/>
  <c r="I45" i="6" s="1"/>
  <c r="A44" i="6"/>
  <c r="I44" i="6" s="1"/>
  <c r="A43" i="6"/>
  <c r="I43" i="6" s="1"/>
  <c r="A42" i="6"/>
  <c r="I42" i="6" s="1"/>
  <c r="A41" i="6"/>
  <c r="I41" i="6" s="1"/>
  <c r="I40" i="6"/>
  <c r="A40" i="6"/>
  <c r="I39" i="6"/>
  <c r="A39" i="6"/>
  <c r="A38" i="6"/>
  <c r="I38" i="6" s="1"/>
  <c r="A37" i="6"/>
  <c r="I37" i="6" s="1"/>
  <c r="I36" i="6"/>
  <c r="A36" i="6"/>
  <c r="A35" i="6"/>
  <c r="I35" i="6" s="1"/>
  <c r="A34" i="6"/>
  <c r="I34" i="6" s="1"/>
  <c r="A33" i="6"/>
  <c r="I33" i="6" s="1"/>
  <c r="I32" i="6"/>
  <c r="A32" i="6"/>
  <c r="A31" i="6"/>
  <c r="I31" i="6" s="1"/>
  <c r="I30" i="6"/>
  <c r="A30" i="6"/>
  <c r="A29" i="6"/>
  <c r="I29" i="6" s="1"/>
  <c r="A28" i="6"/>
  <c r="I28" i="6" s="1"/>
  <c r="A27" i="6"/>
  <c r="I27" i="6" s="1"/>
  <c r="I26" i="6"/>
  <c r="A26" i="6"/>
  <c r="A25" i="6"/>
  <c r="I25" i="6" s="1"/>
  <c r="I24" i="6"/>
  <c r="A24" i="6"/>
  <c r="A23" i="6"/>
  <c r="I23" i="6" s="1"/>
  <c r="A22" i="6"/>
  <c r="I22" i="6" s="1"/>
  <c r="I21" i="6"/>
  <c r="A21" i="6"/>
  <c r="I20" i="6"/>
  <c r="A20" i="6"/>
  <c r="A19" i="6"/>
  <c r="I19" i="6" s="1"/>
  <c r="I18" i="6"/>
  <c r="A18" i="6"/>
  <c r="A17" i="6"/>
  <c r="I17" i="6" s="1"/>
  <c r="I16" i="6"/>
  <c r="A16" i="6"/>
  <c r="M13" i="6"/>
  <c r="L13" i="6"/>
  <c r="K13" i="6"/>
  <c r="J13" i="6"/>
  <c r="I13" i="6"/>
  <c r="J10" i="6"/>
  <c r="M9" i="6"/>
  <c r="M41" i="5" s="1"/>
  <c r="L9" i="6"/>
  <c r="M40" i="5" s="1"/>
  <c r="K9" i="6"/>
  <c r="L39" i="5" s="1"/>
  <c r="J9" i="6"/>
  <c r="M8" i="6"/>
  <c r="L8" i="6"/>
  <c r="K8" i="6"/>
  <c r="J8" i="6"/>
  <c r="I8" i="6"/>
  <c r="M5" i="6"/>
  <c r="L5" i="6"/>
  <c r="K5" i="6"/>
  <c r="J5" i="6"/>
  <c r="I5" i="6"/>
  <c r="T61" i="5"/>
  <c r="Q61" i="5"/>
  <c r="K61" i="5"/>
  <c r="J61" i="5"/>
  <c r="B61" i="5"/>
  <c r="AG61" i="5" s="1"/>
  <c r="A61" i="5" s="1"/>
  <c r="T60" i="5"/>
  <c r="P60" i="5"/>
  <c r="K60" i="5"/>
  <c r="J60" i="5"/>
  <c r="B60" i="5"/>
  <c r="AG60" i="5" s="1"/>
  <c r="A60" i="5" s="1"/>
  <c r="T59" i="5"/>
  <c r="Q59" i="5"/>
  <c r="P59" i="5"/>
  <c r="K59" i="5"/>
  <c r="J59" i="5"/>
  <c r="B59" i="5"/>
  <c r="AG59" i="5" s="1"/>
  <c r="A59" i="5" s="1"/>
  <c r="T58" i="5"/>
  <c r="K58" i="5"/>
  <c r="J58" i="5"/>
  <c r="B58" i="5"/>
  <c r="AG58" i="5" s="1"/>
  <c r="A58" i="5" s="1"/>
  <c r="P57" i="5"/>
  <c r="K57" i="5"/>
  <c r="J57" i="5"/>
  <c r="B57" i="5"/>
  <c r="AG57" i="5" s="1"/>
  <c r="A57" i="5" s="1"/>
  <c r="T56" i="5"/>
  <c r="K56" i="5"/>
  <c r="J56" i="5"/>
  <c r="B56" i="5"/>
  <c r="T55" i="5"/>
  <c r="Q55" i="5"/>
  <c r="P55" i="5"/>
  <c r="K55" i="5"/>
  <c r="J55" i="5"/>
  <c r="B55" i="5"/>
  <c r="AG55" i="5" s="1"/>
  <c r="A55" i="5" s="1"/>
  <c r="T54" i="5"/>
  <c r="Q54" i="5"/>
  <c r="P54" i="5"/>
  <c r="K54" i="5"/>
  <c r="J54" i="5"/>
  <c r="B54" i="5"/>
  <c r="T53" i="5"/>
  <c r="Q53" i="5"/>
  <c r="P53" i="5"/>
  <c r="K53" i="5"/>
  <c r="J53" i="5"/>
  <c r="B53" i="5"/>
  <c r="AG53" i="5" s="1"/>
  <c r="A53" i="5" s="1"/>
  <c r="P52" i="5"/>
  <c r="K52" i="5"/>
  <c r="J52" i="5"/>
  <c r="B52" i="5"/>
  <c r="AG51" i="5"/>
  <c r="A51" i="5" s="1"/>
  <c r="T51" i="5"/>
  <c r="Q51" i="5"/>
  <c r="J51" i="5"/>
  <c r="D51" i="5"/>
  <c r="B51" i="5"/>
  <c r="T50" i="5"/>
  <c r="P50" i="5"/>
  <c r="J50" i="5"/>
  <c r="D50" i="5"/>
  <c r="B50" i="5"/>
  <c r="T49" i="5"/>
  <c r="Q49" i="5"/>
  <c r="P49" i="5"/>
  <c r="J49" i="5"/>
  <c r="D49" i="5"/>
  <c r="B49" i="5"/>
  <c r="T48" i="5"/>
  <c r="J48" i="5"/>
  <c r="D48" i="5"/>
  <c r="B48" i="5"/>
  <c r="T47" i="5"/>
  <c r="Q47" i="5"/>
  <c r="P47" i="5"/>
  <c r="J47" i="5"/>
  <c r="D47" i="5"/>
  <c r="B47" i="5"/>
  <c r="T46" i="5"/>
  <c r="Q46" i="5"/>
  <c r="J46" i="5"/>
  <c r="B46" i="5"/>
  <c r="T45" i="5"/>
  <c r="Q45" i="5"/>
  <c r="P45" i="5"/>
  <c r="J45" i="5"/>
  <c r="B45" i="5"/>
  <c r="AG45" i="5" s="1"/>
  <c r="A45" i="5" s="1"/>
  <c r="T44" i="5"/>
  <c r="Q44" i="5"/>
  <c r="P44" i="5"/>
  <c r="J44" i="5"/>
  <c r="B44" i="5"/>
  <c r="AG44" i="5" s="1"/>
  <c r="A44" i="5" s="1"/>
  <c r="T43" i="5"/>
  <c r="Q43" i="5"/>
  <c r="P43" i="5"/>
  <c r="J43" i="5"/>
  <c r="B43" i="5"/>
  <c r="AG43" i="5" s="1"/>
  <c r="A43" i="5" s="1"/>
  <c r="P42" i="5"/>
  <c r="J42" i="5"/>
  <c r="B42" i="5"/>
  <c r="AG42" i="5" s="1"/>
  <c r="A42" i="5" s="1"/>
  <c r="T41" i="5"/>
  <c r="Q41" i="5"/>
  <c r="K41" i="5"/>
  <c r="J41" i="5"/>
  <c r="B41" i="5"/>
  <c r="AG41" i="5" s="1"/>
  <c r="A41" i="5" s="1"/>
  <c r="T40" i="5"/>
  <c r="P40" i="5"/>
  <c r="K40" i="5"/>
  <c r="J40" i="5"/>
  <c r="B40" i="5"/>
  <c r="AG40" i="5" s="1"/>
  <c r="A40" i="5" s="1"/>
  <c r="T39" i="5"/>
  <c r="Q39" i="5"/>
  <c r="P39" i="5"/>
  <c r="M39" i="5"/>
  <c r="K39" i="5"/>
  <c r="J39" i="5"/>
  <c r="D39" i="5"/>
  <c r="B39" i="5"/>
  <c r="AG39" i="5" s="1"/>
  <c r="A39" i="5" s="1"/>
  <c r="T38" i="5"/>
  <c r="P38" i="5"/>
  <c r="M38" i="5"/>
  <c r="K38" i="5"/>
  <c r="J38" i="5"/>
  <c r="B38" i="5"/>
  <c r="AG38" i="5" s="1"/>
  <c r="A38" i="5" s="1"/>
  <c r="Q37" i="5"/>
  <c r="P37" i="5"/>
  <c r="K37" i="5"/>
  <c r="J37" i="5"/>
  <c r="B37" i="5"/>
  <c r="AG37" i="5" s="1"/>
  <c r="A37" i="5" s="1"/>
  <c r="T36" i="5"/>
  <c r="J36" i="5"/>
  <c r="D36" i="5"/>
  <c r="B36" i="5"/>
  <c r="AG36" i="5" s="1"/>
  <c r="A36" i="5" s="1"/>
  <c r="T35" i="5"/>
  <c r="Q35" i="5"/>
  <c r="P35" i="5"/>
  <c r="J35" i="5"/>
  <c r="D35" i="5"/>
  <c r="B35" i="5"/>
  <c r="AG35" i="5" s="1"/>
  <c r="A35" i="5" s="1"/>
  <c r="T34" i="5"/>
  <c r="Q34" i="5"/>
  <c r="P34" i="5"/>
  <c r="J34" i="5"/>
  <c r="D34" i="5"/>
  <c r="B34" i="5"/>
  <c r="AG34" i="5" s="1"/>
  <c r="A34" i="5" s="1"/>
  <c r="T33" i="5"/>
  <c r="Q33" i="5"/>
  <c r="P33" i="5"/>
  <c r="J33" i="5"/>
  <c r="D33" i="5"/>
  <c r="B33" i="5"/>
  <c r="AG33" i="5" s="1"/>
  <c r="A33" i="5" s="1"/>
  <c r="T32" i="5"/>
  <c r="P32" i="5"/>
  <c r="J32" i="5"/>
  <c r="D32" i="5"/>
  <c r="B32" i="5"/>
  <c r="T31" i="5"/>
  <c r="Q31" i="5"/>
  <c r="J31" i="5"/>
  <c r="B31" i="5"/>
  <c r="T30" i="5"/>
  <c r="P30" i="5"/>
  <c r="J30" i="5"/>
  <c r="B30" i="5"/>
  <c r="T29" i="5"/>
  <c r="Q29" i="5"/>
  <c r="P29" i="5"/>
  <c r="J29" i="5"/>
  <c r="B29" i="5"/>
  <c r="T28" i="5"/>
  <c r="Q28" i="5"/>
  <c r="P28" i="5"/>
  <c r="J28" i="5"/>
  <c r="B28" i="5"/>
  <c r="Q27" i="5"/>
  <c r="P27" i="5"/>
  <c r="J27" i="5"/>
  <c r="B27" i="5"/>
  <c r="AG27" i="5" s="1"/>
  <c r="A27" i="5" s="1"/>
  <c r="T26" i="5"/>
  <c r="Q26" i="5"/>
  <c r="J26" i="5"/>
  <c r="B26" i="5"/>
  <c r="T25" i="5"/>
  <c r="P25" i="5"/>
  <c r="J25" i="5"/>
  <c r="B25" i="5"/>
  <c r="AG25" i="5" s="1"/>
  <c r="A25" i="5" s="1"/>
  <c r="T24" i="5"/>
  <c r="Q24" i="5"/>
  <c r="P24" i="5"/>
  <c r="K24" i="5"/>
  <c r="J24" i="5"/>
  <c r="B24" i="5"/>
  <c r="T23" i="5"/>
  <c r="P23" i="5"/>
  <c r="J23" i="5"/>
  <c r="B23" i="5"/>
  <c r="AG23" i="5" s="1"/>
  <c r="A23" i="5" s="1"/>
  <c r="Q22" i="5"/>
  <c r="P22" i="5"/>
  <c r="J22" i="5"/>
  <c r="B22" i="5"/>
  <c r="T21" i="5"/>
  <c r="Q21" i="5"/>
  <c r="K21" i="5"/>
  <c r="J21" i="5"/>
  <c r="B21" i="5"/>
  <c r="AG21" i="5" s="1"/>
  <c r="A21" i="5" s="1"/>
  <c r="T20" i="5"/>
  <c r="Q20" i="5"/>
  <c r="P20" i="5"/>
  <c r="K20" i="5"/>
  <c r="J20" i="5"/>
  <c r="B20" i="5"/>
  <c r="T19" i="5"/>
  <c r="Q19" i="5"/>
  <c r="P19" i="5"/>
  <c r="K19" i="5"/>
  <c r="J19" i="5"/>
  <c r="B19" i="5"/>
  <c r="AG19" i="5" s="1"/>
  <c r="A19" i="5" s="1"/>
  <c r="T18" i="5"/>
  <c r="P18" i="5"/>
  <c r="K18" i="5"/>
  <c r="J18" i="5"/>
  <c r="B18" i="5"/>
  <c r="Q17" i="5"/>
  <c r="P17" i="5"/>
  <c r="K17" i="5"/>
  <c r="J17" i="5"/>
  <c r="B17" i="5"/>
  <c r="AG17" i="5" s="1"/>
  <c r="A17" i="5" s="1"/>
  <c r="T16" i="5"/>
  <c r="Q16" i="5"/>
  <c r="J16" i="5"/>
  <c r="B16" i="5"/>
  <c r="T15" i="5"/>
  <c r="P15" i="5"/>
  <c r="K15" i="5"/>
  <c r="J15" i="5"/>
  <c r="B15" i="5"/>
  <c r="AG15" i="5" s="1"/>
  <c r="A15" i="5" s="1"/>
  <c r="T14" i="5"/>
  <c r="Q14" i="5"/>
  <c r="P14" i="5"/>
  <c r="J14" i="5"/>
  <c r="B14" i="5"/>
  <c r="AG14" i="5" s="1"/>
  <c r="A14" i="5" s="1"/>
  <c r="T13" i="5"/>
  <c r="P13" i="5"/>
  <c r="J13" i="5"/>
  <c r="B13" i="5"/>
  <c r="AG13" i="5" s="1"/>
  <c r="A13" i="5" s="1"/>
  <c r="Q12" i="5"/>
  <c r="P12" i="5"/>
  <c r="K12" i="5"/>
  <c r="J12" i="5"/>
  <c r="B12" i="5"/>
  <c r="AG12" i="5" s="1"/>
  <c r="A12" i="5" s="1"/>
  <c r="T11" i="5"/>
  <c r="Q11" i="5"/>
  <c r="J11" i="5"/>
  <c r="B11" i="5"/>
  <c r="AG11" i="5" s="1"/>
  <c r="A11" i="5" s="1"/>
  <c r="T10" i="5"/>
  <c r="Q10" i="5"/>
  <c r="P10" i="5"/>
  <c r="J10" i="5"/>
  <c r="B10" i="5"/>
  <c r="AG10" i="5" s="1"/>
  <c r="A10" i="5" s="1"/>
  <c r="T9" i="5"/>
  <c r="Q9" i="5"/>
  <c r="P9" i="5"/>
  <c r="J9" i="5"/>
  <c r="B9" i="5"/>
  <c r="AG9" i="5" s="1"/>
  <c r="A9" i="5" s="1"/>
  <c r="T8" i="5"/>
  <c r="P8" i="5"/>
  <c r="J8" i="5"/>
  <c r="B8" i="5"/>
  <c r="AG8" i="5" s="1"/>
  <c r="A8" i="5" s="1"/>
  <c r="Q7" i="5"/>
  <c r="P7" i="5"/>
  <c r="J7" i="5"/>
  <c r="B7" i="5"/>
  <c r="AG7" i="5" s="1"/>
  <c r="A7" i="5" s="1"/>
  <c r="T6" i="5"/>
  <c r="Q6" i="5"/>
  <c r="J6" i="5"/>
  <c r="B6" i="5"/>
  <c r="AG6" i="5" s="1"/>
  <c r="A6" i="5" s="1"/>
  <c r="T5" i="5"/>
  <c r="P5" i="5"/>
  <c r="J5" i="5"/>
  <c r="B5" i="5"/>
  <c r="AG5" i="5" s="1"/>
  <c r="A5" i="5" s="1"/>
  <c r="T4" i="5"/>
  <c r="Q4" i="5"/>
  <c r="P4" i="5"/>
  <c r="J4" i="5"/>
  <c r="B4" i="5"/>
  <c r="AG4" i="5" s="1"/>
  <c r="A4" i="5" s="1"/>
  <c r="T3" i="5"/>
  <c r="P3" i="5"/>
  <c r="J3" i="5"/>
  <c r="B3" i="5"/>
  <c r="AG3" i="5" s="1"/>
  <c r="A3" i="5" s="1"/>
  <c r="T2" i="5"/>
  <c r="Q2" i="5"/>
  <c r="P2" i="5"/>
  <c r="J2" i="5"/>
  <c r="B2" i="5"/>
  <c r="A1" i="5"/>
  <c r="I3" i="4"/>
  <c r="Y23" i="5" s="1"/>
  <c r="I6" i="4" l="1"/>
  <c r="Y21" i="5" s="1"/>
  <c r="I4" i="4"/>
  <c r="Y24" i="5" s="1"/>
  <c r="I5" i="4"/>
  <c r="Y15" i="5" s="1"/>
  <c r="D28" i="6"/>
  <c r="D46" i="5"/>
  <c r="P36" i="5"/>
  <c r="P41" i="5"/>
  <c r="P21" i="5"/>
  <c r="L40" i="5"/>
  <c r="E54" i="5"/>
  <c r="J3" i="6"/>
  <c r="C22" i="6" s="1"/>
  <c r="C55" i="6"/>
  <c r="C64" i="6"/>
  <c r="P16" i="5"/>
  <c r="E53" i="5"/>
  <c r="M3" i="6"/>
  <c r="D25" i="6" s="1"/>
  <c r="K42" i="5"/>
  <c r="C53" i="6"/>
  <c r="C51" i="6"/>
  <c r="L11" i="5"/>
  <c r="D11" i="5" s="1"/>
  <c r="K2" i="5"/>
  <c r="Q25" i="5"/>
  <c r="Q38" i="5"/>
  <c r="Q40" i="5"/>
  <c r="P46" i="5"/>
  <c r="Q50" i="5"/>
  <c r="Q58" i="5"/>
  <c r="Q5" i="5"/>
  <c r="Q8" i="5"/>
  <c r="P11" i="5"/>
  <c r="K14" i="5"/>
  <c r="Q15" i="5"/>
  <c r="D70" i="6"/>
  <c r="Q18" i="5"/>
  <c r="K29" i="5"/>
  <c r="I3" i="6"/>
  <c r="D21" i="6" s="1"/>
  <c r="Q3" i="5"/>
  <c r="K13" i="5"/>
  <c r="Q32" i="5"/>
  <c r="E38" i="5"/>
  <c r="L41" i="5"/>
  <c r="P26" i="5"/>
  <c r="P31" i="5"/>
  <c r="Q48" i="5"/>
  <c r="E56" i="5"/>
  <c r="K3" i="6"/>
  <c r="D23" i="6" s="1"/>
  <c r="L6" i="6"/>
  <c r="D39" i="6" s="1"/>
  <c r="T17" i="5"/>
  <c r="P6" i="5"/>
  <c r="Q13" i="5"/>
  <c r="Q42" i="5"/>
  <c r="P51" i="5"/>
  <c r="E55" i="5"/>
  <c r="M6" i="6"/>
  <c r="D40" i="6" s="1"/>
  <c r="M34" i="5"/>
  <c r="B9" i="3"/>
  <c r="B13" i="3" s="1"/>
  <c r="L37" i="5"/>
  <c r="M54" i="5"/>
  <c r="L38" i="5"/>
  <c r="L33" i="5"/>
  <c r="Q36" i="5"/>
  <c r="Q30" i="5"/>
  <c r="P58" i="5"/>
  <c r="P61" i="5"/>
  <c r="K25" i="5"/>
  <c r="I10" i="6"/>
  <c r="D49" i="6"/>
  <c r="T42" i="5"/>
  <c r="M21" i="5"/>
  <c r="E21" i="5" s="1"/>
  <c r="L36" i="5"/>
  <c r="K8" i="5"/>
  <c r="K9" i="5"/>
  <c r="K10" i="5"/>
  <c r="K11" i="5"/>
  <c r="D45" i="5"/>
  <c r="L10" i="6"/>
  <c r="M45" i="5" s="1"/>
  <c r="E45" i="5" s="1"/>
  <c r="D50" i="6"/>
  <c r="E50" i="6" s="1"/>
  <c r="L10" i="5"/>
  <c r="D10" i="5" s="1"/>
  <c r="K23" i="5"/>
  <c r="E33" i="5"/>
  <c r="AB33" i="5" s="1"/>
  <c r="E34" i="5"/>
  <c r="F34" i="5" s="1"/>
  <c r="E36" i="5"/>
  <c r="AB36" i="5" s="1"/>
  <c r="L4" i="6"/>
  <c r="M15" i="5" s="1"/>
  <c r="E15" i="5" s="1"/>
  <c r="M10" i="6"/>
  <c r="D48" i="6"/>
  <c r="D71" i="6"/>
  <c r="M10" i="5"/>
  <c r="E10" i="5" s="1"/>
  <c r="E32" i="5"/>
  <c r="AB32" i="5" s="1"/>
  <c r="E35" i="5"/>
  <c r="AB35" i="5" s="1"/>
  <c r="M4" i="6"/>
  <c r="C30" i="6" s="1"/>
  <c r="I7" i="6"/>
  <c r="L27" i="5" s="1"/>
  <c r="D27" i="5" s="1"/>
  <c r="K6" i="5"/>
  <c r="K26" i="5"/>
  <c r="M33" i="5"/>
  <c r="L34" i="5"/>
  <c r="M36" i="5"/>
  <c r="K50" i="5"/>
  <c r="C59" i="6"/>
  <c r="K49" i="5"/>
  <c r="K48" i="5"/>
  <c r="E61" i="5"/>
  <c r="L7" i="6"/>
  <c r="M30" i="5" s="1"/>
  <c r="E30" i="5" s="1"/>
  <c r="D72" i="6"/>
  <c r="D75" i="6"/>
  <c r="K5" i="5"/>
  <c r="D44" i="5"/>
  <c r="K47" i="5"/>
  <c r="T57" i="5"/>
  <c r="E60" i="5"/>
  <c r="L12" i="6"/>
  <c r="L55" i="5" s="1"/>
  <c r="D55" i="5" s="1"/>
  <c r="C56" i="6"/>
  <c r="C60" i="6"/>
  <c r="E59" i="5"/>
  <c r="K4" i="5"/>
  <c r="L32" i="5"/>
  <c r="D42" i="5"/>
  <c r="D43" i="5"/>
  <c r="E58" i="5"/>
  <c r="I4" i="6"/>
  <c r="D26" i="6" s="1"/>
  <c r="C57" i="6"/>
  <c r="D73" i="6"/>
  <c r="D63" i="6"/>
  <c r="E63" i="6" s="1"/>
  <c r="M32" i="5"/>
  <c r="K33" i="5"/>
  <c r="E57" i="5"/>
  <c r="J4" i="6"/>
  <c r="M13" i="5" s="1"/>
  <c r="E13" i="5" s="1"/>
  <c r="C24" i="6"/>
  <c r="E24" i="6" s="1"/>
  <c r="M35" i="5"/>
  <c r="D57" i="6"/>
  <c r="D58" i="6"/>
  <c r="E58" i="6" s="1"/>
  <c r="M12" i="6"/>
  <c r="M56" i="5" s="1"/>
  <c r="K34" i="5"/>
  <c r="C71" i="6"/>
  <c r="E71" i="6" s="1"/>
  <c r="D31" i="6"/>
  <c r="M58" i="5"/>
  <c r="K35" i="5"/>
  <c r="K36" i="5"/>
  <c r="D32" i="6"/>
  <c r="M11" i="6"/>
  <c r="M51" i="5" s="1"/>
  <c r="E51" i="5" s="1"/>
  <c r="AB51" i="5" s="1"/>
  <c r="C73" i="6"/>
  <c r="L18" i="5"/>
  <c r="D18" i="5" s="1"/>
  <c r="L19" i="5"/>
  <c r="D19" i="5" s="1"/>
  <c r="L20" i="5"/>
  <c r="D20" i="5" s="1"/>
  <c r="L21" i="5"/>
  <c r="D21" i="5" s="1"/>
  <c r="AB21" i="5" s="1"/>
  <c r="D33" i="6"/>
  <c r="I12" i="6"/>
  <c r="L52" i="5" s="1"/>
  <c r="C74" i="6"/>
  <c r="E74" i="6" s="1"/>
  <c r="L17" i="5"/>
  <c r="D17" i="5" s="1"/>
  <c r="M18" i="5"/>
  <c r="E18" i="5" s="1"/>
  <c r="M19" i="5"/>
  <c r="E19" i="5" s="1"/>
  <c r="F19" i="5" s="1"/>
  <c r="M20" i="5"/>
  <c r="E20" i="5" s="1"/>
  <c r="D34" i="6"/>
  <c r="J12" i="6"/>
  <c r="L53" i="5" s="1"/>
  <c r="D53" i="5" s="1"/>
  <c r="E49" i="6"/>
  <c r="D56" i="6"/>
  <c r="E47" i="6"/>
  <c r="E54" i="6"/>
  <c r="L23" i="5"/>
  <c r="D23" i="5" s="1"/>
  <c r="M23" i="5"/>
  <c r="E23" i="5" s="1"/>
  <c r="D38" i="5"/>
  <c r="E52" i="5"/>
  <c r="K6" i="6"/>
  <c r="C38" i="6" s="1"/>
  <c r="L11" i="6"/>
  <c r="C68" i="6"/>
  <c r="K28" i="5"/>
  <c r="E39" i="5"/>
  <c r="AB39" i="5" s="1"/>
  <c r="K43" i="5"/>
  <c r="D51" i="6"/>
  <c r="D53" i="6"/>
  <c r="D55" i="6"/>
  <c r="D68" i="6"/>
  <c r="M17" i="5"/>
  <c r="E17" i="5" s="1"/>
  <c r="D40" i="5"/>
  <c r="L43" i="5"/>
  <c r="K44" i="5"/>
  <c r="L54" i="5"/>
  <c r="D54" i="5" s="1"/>
  <c r="M60" i="5"/>
  <c r="C34" i="6"/>
  <c r="D66" i="6"/>
  <c r="K27" i="5"/>
  <c r="E40" i="5"/>
  <c r="M43" i="5"/>
  <c r="E43" i="5" s="1"/>
  <c r="L44" i="5"/>
  <c r="L56" i="5"/>
  <c r="D56" i="5" s="1"/>
  <c r="AB56" i="5" s="1"/>
  <c r="M31" i="5"/>
  <c r="E31" i="5" s="1"/>
  <c r="I11" i="6"/>
  <c r="D61" i="6" s="1"/>
  <c r="E61" i="6" s="1"/>
  <c r="L35" i="5"/>
  <c r="D37" i="5"/>
  <c r="T37" i="5"/>
  <c r="D41" i="5"/>
  <c r="M44" i="5"/>
  <c r="E44" i="5" s="1"/>
  <c r="K45" i="5"/>
  <c r="I6" i="6"/>
  <c r="C36" i="6" s="1"/>
  <c r="J11" i="6"/>
  <c r="E46" i="6"/>
  <c r="C48" i="6"/>
  <c r="E48" i="6" s="1"/>
  <c r="C52" i="6"/>
  <c r="D69" i="6"/>
  <c r="K30" i="5"/>
  <c r="E37" i="5"/>
  <c r="E41" i="5"/>
  <c r="T52" i="5"/>
  <c r="C32" i="6"/>
  <c r="D52" i="6"/>
  <c r="M5" i="5"/>
  <c r="E5" i="5" s="1"/>
  <c r="L5" i="5"/>
  <c r="D5" i="5" s="1"/>
  <c r="M2" i="6"/>
  <c r="I2" i="6"/>
  <c r="J2" i="6"/>
  <c r="C17" i="6" s="1"/>
  <c r="K2" i="6"/>
  <c r="L49" i="5"/>
  <c r="M49" i="5"/>
  <c r="E49" i="5" s="1"/>
  <c r="AB49" i="5" s="1"/>
  <c r="L57" i="5"/>
  <c r="D57" i="5" s="1"/>
  <c r="M57" i="5"/>
  <c r="L60" i="5"/>
  <c r="D60" i="5" s="1"/>
  <c r="C72" i="6"/>
  <c r="M59" i="5"/>
  <c r="L58" i="5"/>
  <c r="D58" i="5" s="1"/>
  <c r="L59" i="5"/>
  <c r="D59" i="5" s="1"/>
  <c r="M25" i="5"/>
  <c r="E25" i="5" s="1"/>
  <c r="F36" i="5"/>
  <c r="N38" i="5"/>
  <c r="O38" i="5" s="1"/>
  <c r="AC38" i="5" s="1"/>
  <c r="N39" i="5"/>
  <c r="O39" i="5" s="1"/>
  <c r="AC39" i="5" s="1"/>
  <c r="L14" i="5"/>
  <c r="M14" i="5"/>
  <c r="E14" i="5" s="1"/>
  <c r="C28" i="6"/>
  <c r="E28" i="6" s="1"/>
  <c r="L31" i="5"/>
  <c r="D31" i="5" s="1"/>
  <c r="B14" i="3"/>
  <c r="B15" i="3" s="1"/>
  <c r="Y52" i="5"/>
  <c r="Y47" i="5"/>
  <c r="Y42" i="5"/>
  <c r="Y37" i="5"/>
  <c r="Y32" i="5"/>
  <c r="Y57" i="5"/>
  <c r="Y2" i="5"/>
  <c r="Y3" i="5"/>
  <c r="Y4" i="5"/>
  <c r="Y5" i="5"/>
  <c r="Y6" i="5"/>
  <c r="Y7" i="5"/>
  <c r="Y8" i="5"/>
  <c r="Y9" i="5"/>
  <c r="Y10" i="5"/>
  <c r="Y11" i="5"/>
  <c r="Y12" i="5"/>
  <c r="Y13" i="5"/>
  <c r="Y14" i="5"/>
  <c r="AG31" i="5"/>
  <c r="A31" i="5" s="1"/>
  <c r="AG29" i="5"/>
  <c r="A29" i="5" s="1"/>
  <c r="AG32" i="5"/>
  <c r="A32" i="5" s="1"/>
  <c r="AG46" i="5"/>
  <c r="A46" i="5" s="1"/>
  <c r="AG49" i="5"/>
  <c r="A49" i="5" s="1"/>
  <c r="Y60" i="5"/>
  <c r="Y55" i="5"/>
  <c r="Y40" i="5"/>
  <c r="Y35" i="5"/>
  <c r="Y45" i="5"/>
  <c r="Y50" i="5"/>
  <c r="Y17" i="5"/>
  <c r="Y19" i="5"/>
  <c r="Y25" i="5"/>
  <c r="Y27" i="5"/>
  <c r="AG28" i="5"/>
  <c r="A28" i="5" s="1"/>
  <c r="Y49" i="5"/>
  <c r="Y38" i="5"/>
  <c r="Y33" i="5"/>
  <c r="Y48" i="5"/>
  <c r="Y53" i="5"/>
  <c r="Y58" i="5"/>
  <c r="Y43" i="5"/>
  <c r="Y28" i="5"/>
  <c r="Y30" i="5"/>
  <c r="AG30" i="5"/>
  <c r="A30" i="5" s="1"/>
  <c r="Y44" i="5"/>
  <c r="Y54" i="5"/>
  <c r="AG16" i="5"/>
  <c r="A16" i="5" s="1"/>
  <c r="AG18" i="5"/>
  <c r="A18" i="5" s="1"/>
  <c r="AG20" i="5"/>
  <c r="A20" i="5" s="1"/>
  <c r="AG22" i="5"/>
  <c r="A22" i="5" s="1"/>
  <c r="AG24" i="5"/>
  <c r="A24" i="5" s="1"/>
  <c r="AG26" i="5"/>
  <c r="A26" i="5" s="1"/>
  <c r="Y61" i="5"/>
  <c r="Y51" i="5"/>
  <c r="Y56" i="5"/>
  <c r="Y41" i="5"/>
  <c r="Y36" i="5"/>
  <c r="Y31" i="5"/>
  <c r="Y46" i="5"/>
  <c r="Y16" i="5"/>
  <c r="Y18" i="5"/>
  <c r="Y20" i="5"/>
  <c r="Y22" i="5"/>
  <c r="Y26" i="5"/>
  <c r="Y39" i="5"/>
  <c r="Y34" i="5"/>
  <c r="Y59" i="5"/>
  <c r="AG2" i="5"/>
  <c r="Y29" i="5"/>
  <c r="AG54" i="5"/>
  <c r="A54" i="5" s="1"/>
  <c r="AG48" i="5"/>
  <c r="A48" i="5" s="1"/>
  <c r="AG47" i="5"/>
  <c r="A47" i="5" s="1"/>
  <c r="M53" i="5"/>
  <c r="C67" i="6"/>
  <c r="E67" i="6" s="1"/>
  <c r="M61" i="5"/>
  <c r="L61" i="5"/>
  <c r="C75" i="6"/>
  <c r="AG52" i="5"/>
  <c r="A52" i="5" s="1"/>
  <c r="AG56" i="5"/>
  <c r="A56" i="5" s="1"/>
  <c r="D19" i="6"/>
  <c r="C19" i="6"/>
  <c r="D35" i="6"/>
  <c r="C35" i="6"/>
  <c r="D45" i="6"/>
  <c r="C45" i="6"/>
  <c r="M55" i="5"/>
  <c r="C69" i="6"/>
  <c r="E69" i="6" s="1"/>
  <c r="D37" i="6"/>
  <c r="C37" i="6"/>
  <c r="AG50" i="5"/>
  <c r="A50" i="5" s="1"/>
  <c r="C25" i="6"/>
  <c r="E25" i="6" s="1"/>
  <c r="C31" i="6"/>
  <c r="E31" i="6" s="1"/>
  <c r="C33" i="6"/>
  <c r="C39" i="6"/>
  <c r="E39" i="6" s="1"/>
  <c r="L7" i="5" l="1"/>
  <c r="D7" i="5" s="1"/>
  <c r="C21" i="6"/>
  <c r="L25" i="5"/>
  <c r="D25" i="5" s="1"/>
  <c r="AB25" i="5" s="1"/>
  <c r="C44" i="6"/>
  <c r="E55" i="6"/>
  <c r="AB10" i="5"/>
  <c r="E53" i="6"/>
  <c r="F33" i="5"/>
  <c r="N41" i="5"/>
  <c r="O41" i="5" s="1"/>
  <c r="AC41" i="5" s="1"/>
  <c r="AB34" i="5"/>
  <c r="F32" i="5"/>
  <c r="AB54" i="5"/>
  <c r="E51" i="6"/>
  <c r="M7" i="5"/>
  <c r="E7" i="5" s="1"/>
  <c r="F7" i="5" s="1"/>
  <c r="AC7" i="5" s="1"/>
  <c r="AD7" i="5" s="1"/>
  <c r="N33" i="5"/>
  <c r="O33" i="5" s="1"/>
  <c r="AC33" i="5" s="1"/>
  <c r="AD33" i="5" s="1"/>
  <c r="M11" i="5"/>
  <c r="D22" i="6"/>
  <c r="E22" i="6" s="1"/>
  <c r="M8" i="5"/>
  <c r="E8" i="5" s="1"/>
  <c r="F35" i="5"/>
  <c r="F43" i="5"/>
  <c r="L8" i="5"/>
  <c r="D8" i="5" s="1"/>
  <c r="M26" i="5"/>
  <c r="E26" i="5" s="1"/>
  <c r="L9" i="5"/>
  <c r="D9" i="5" s="1"/>
  <c r="L26" i="5"/>
  <c r="D26" i="5" s="1"/>
  <c r="F26" i="5" s="1"/>
  <c r="AC26" i="5" s="1"/>
  <c r="AD26" i="5" s="1"/>
  <c r="D29" i="6"/>
  <c r="E72" i="6"/>
  <c r="C70" i="6"/>
  <c r="E70" i="6" s="1"/>
  <c r="C23" i="6"/>
  <c r="E23" i="6" s="1"/>
  <c r="D59" i="6"/>
  <c r="E59" i="6" s="1"/>
  <c r="C40" i="6"/>
  <c r="E40" i="6" s="1"/>
  <c r="AB38" i="5"/>
  <c r="M9" i="5"/>
  <c r="E9" i="5" s="1"/>
  <c r="N34" i="5"/>
  <c r="O34" i="5" s="1"/>
  <c r="AC34" i="5" s="1"/>
  <c r="N35" i="5"/>
  <c r="O35" i="5" s="1"/>
  <c r="AC35" i="5" s="1"/>
  <c r="E34" i="6"/>
  <c r="E73" i="6"/>
  <c r="N36" i="5"/>
  <c r="O36" i="5" s="1"/>
  <c r="AC36" i="5" s="1"/>
  <c r="AD36" i="5" s="1"/>
  <c r="F17" i="5"/>
  <c r="AC17" i="5" s="1"/>
  <c r="E57" i="6"/>
  <c r="E56" i="6"/>
  <c r="N32" i="5"/>
  <c r="O32" i="5" s="1"/>
  <c r="AC32" i="5" s="1"/>
  <c r="AD32" i="5" s="1"/>
  <c r="N43" i="5"/>
  <c r="O43" i="5" s="1"/>
  <c r="AC43" i="5" s="1"/>
  <c r="AD43" i="5" s="1"/>
  <c r="F23" i="5"/>
  <c r="AC23" i="5" s="1"/>
  <c r="AB45" i="5"/>
  <c r="F45" i="5"/>
  <c r="J7" i="6"/>
  <c r="K7" i="6" s="1"/>
  <c r="D27" i="6"/>
  <c r="N23" i="5"/>
  <c r="O23" i="5" s="1"/>
  <c r="F37" i="5"/>
  <c r="D41" i="6"/>
  <c r="M46" i="5"/>
  <c r="E46" i="5" s="1"/>
  <c r="F46" i="5" s="1"/>
  <c r="L46" i="5"/>
  <c r="C27" i="6"/>
  <c r="C41" i="6"/>
  <c r="M27" i="5"/>
  <c r="E27" i="5" s="1"/>
  <c r="F27" i="5" s="1"/>
  <c r="AC27" i="5" s="1"/>
  <c r="AD27" i="5" s="1"/>
  <c r="AB17" i="5"/>
  <c r="L16" i="5"/>
  <c r="D16" i="5" s="1"/>
  <c r="M16" i="5"/>
  <c r="E16" i="5" s="1"/>
  <c r="N21" i="5"/>
  <c r="O21" i="5" s="1"/>
  <c r="L15" i="5"/>
  <c r="D15" i="5" s="1"/>
  <c r="N10" i="5"/>
  <c r="O10" i="5" s="1"/>
  <c r="F10" i="5"/>
  <c r="AC10" i="5" s="1"/>
  <c r="AD10" i="5" s="1"/>
  <c r="D30" i="6"/>
  <c r="E30" i="6" s="1"/>
  <c r="D44" i="6"/>
  <c r="E44" i="6" s="1"/>
  <c r="E33" i="6"/>
  <c r="D60" i="6"/>
  <c r="E60" i="6" s="1"/>
  <c r="M42" i="5"/>
  <c r="E42" i="5" s="1"/>
  <c r="F42" i="5" s="1"/>
  <c r="L42" i="5"/>
  <c r="C29" i="6"/>
  <c r="L45" i="5"/>
  <c r="N45" i="5" s="1"/>
  <c r="O45" i="5" s="1"/>
  <c r="AC45" i="5" s="1"/>
  <c r="AD45" i="5" s="1"/>
  <c r="N19" i="5"/>
  <c r="O19" i="5" s="1"/>
  <c r="M12" i="5"/>
  <c r="E12" i="5" s="1"/>
  <c r="F38" i="5"/>
  <c r="M47" i="5"/>
  <c r="E47" i="5" s="1"/>
  <c r="AB47" i="5" s="1"/>
  <c r="AB5" i="5"/>
  <c r="L30" i="5"/>
  <c r="D30" i="5" s="1"/>
  <c r="F30" i="5" s="1"/>
  <c r="AC30" i="5" s="1"/>
  <c r="AD30" i="5" s="1"/>
  <c r="F39" i="5"/>
  <c r="F49" i="5"/>
  <c r="C26" i="6"/>
  <c r="E26" i="6" s="1"/>
  <c r="L13" i="5"/>
  <c r="D13" i="5" s="1"/>
  <c r="F13" i="5" s="1"/>
  <c r="AC13" i="5" s="1"/>
  <c r="AD13" i="5" s="1"/>
  <c r="F44" i="5"/>
  <c r="N17" i="5"/>
  <c r="O17" i="5" s="1"/>
  <c r="L12" i="5"/>
  <c r="D12" i="5" s="1"/>
  <c r="E32" i="6"/>
  <c r="N37" i="5"/>
  <c r="O37" i="5" s="1"/>
  <c r="AC37" i="5" s="1"/>
  <c r="AB43" i="5"/>
  <c r="E75" i="6"/>
  <c r="F21" i="5"/>
  <c r="AC21" i="5" s="1"/>
  <c r="N49" i="5"/>
  <c r="O49" i="5" s="1"/>
  <c r="AC49" i="5" s="1"/>
  <c r="AD49" i="5" s="1"/>
  <c r="E21" i="6"/>
  <c r="D52" i="5"/>
  <c r="AB52" i="5" s="1"/>
  <c r="N54" i="5"/>
  <c r="O54" i="5" s="1"/>
  <c r="AC54" i="5" s="1"/>
  <c r="AD54" i="5" s="1"/>
  <c r="F54" i="5"/>
  <c r="M52" i="5"/>
  <c r="E68" i="6"/>
  <c r="C66" i="6"/>
  <c r="E66" i="6" s="1"/>
  <c r="AB19" i="5"/>
  <c r="F5" i="5"/>
  <c r="L47" i="5"/>
  <c r="AB40" i="5"/>
  <c r="D65" i="6"/>
  <c r="E65" i="6" s="1"/>
  <c r="L51" i="5"/>
  <c r="N51" i="5" s="1"/>
  <c r="O51" i="5" s="1"/>
  <c r="AC51" i="5" s="1"/>
  <c r="AD51" i="5" s="1"/>
  <c r="N31" i="5"/>
  <c r="O31" i="5" s="1"/>
  <c r="F41" i="5"/>
  <c r="AB41" i="5"/>
  <c r="F51" i="5"/>
  <c r="F56" i="5"/>
  <c r="F60" i="5"/>
  <c r="AB60" i="5"/>
  <c r="E52" i="6"/>
  <c r="D64" i="6"/>
  <c r="E64" i="6" s="1"/>
  <c r="M50" i="5"/>
  <c r="E50" i="5" s="1"/>
  <c r="L50" i="5"/>
  <c r="AB44" i="5"/>
  <c r="F55" i="5"/>
  <c r="AB55" i="5"/>
  <c r="F31" i="5"/>
  <c r="AC31" i="5" s="1"/>
  <c r="AD31" i="5" s="1"/>
  <c r="AB31" i="5"/>
  <c r="F40" i="5"/>
  <c r="AB37" i="5"/>
  <c r="D38" i="6"/>
  <c r="E38" i="6" s="1"/>
  <c r="M24" i="5"/>
  <c r="E24" i="5" s="1"/>
  <c r="L24" i="5"/>
  <c r="D24" i="5" s="1"/>
  <c r="F57" i="5"/>
  <c r="AB57" i="5"/>
  <c r="F20" i="5"/>
  <c r="AC20" i="5" s="1"/>
  <c r="AD20" i="5" s="1"/>
  <c r="AB20" i="5"/>
  <c r="F52" i="5"/>
  <c r="F53" i="5"/>
  <c r="AB53" i="5"/>
  <c r="F18" i="5"/>
  <c r="AC18" i="5" s="1"/>
  <c r="AD18" i="5" s="1"/>
  <c r="AB18" i="5"/>
  <c r="N40" i="5"/>
  <c r="O40" i="5" s="1"/>
  <c r="AC40" i="5" s="1"/>
  <c r="AD40" i="5" s="1"/>
  <c r="F59" i="5"/>
  <c r="AB59" i="5"/>
  <c r="D62" i="6"/>
  <c r="E62" i="6" s="1"/>
  <c r="M48" i="5"/>
  <c r="E48" i="5" s="1"/>
  <c r="L48" i="5"/>
  <c r="AB23" i="5"/>
  <c r="F58" i="5"/>
  <c r="AB58" i="5"/>
  <c r="D36" i="6"/>
  <c r="E36" i="6" s="1"/>
  <c r="M22" i="5"/>
  <c r="E22" i="5" s="1"/>
  <c r="L22" i="5"/>
  <c r="D22" i="5" s="1"/>
  <c r="N56" i="5"/>
  <c r="O56" i="5" s="1"/>
  <c r="AC56" i="5" s="1"/>
  <c r="AD56" i="5" s="1"/>
  <c r="N44" i="5"/>
  <c r="O44" i="5" s="1"/>
  <c r="AC44" i="5" s="1"/>
  <c r="AB8" i="5"/>
  <c r="E19" i="6"/>
  <c r="D18" i="6"/>
  <c r="M4" i="5"/>
  <c r="E4" i="5" s="1"/>
  <c r="L4" i="5"/>
  <c r="D4" i="5" s="1"/>
  <c r="N5" i="5"/>
  <c r="O5" i="5" s="1"/>
  <c r="D17" i="6"/>
  <c r="E17" i="6" s="1"/>
  <c r="M3" i="5"/>
  <c r="E3" i="5" s="1"/>
  <c r="L3" i="5"/>
  <c r="D16" i="6"/>
  <c r="C16" i="6"/>
  <c r="M2" i="5"/>
  <c r="E2" i="5" s="1"/>
  <c r="L2" i="5"/>
  <c r="D20" i="6"/>
  <c r="C20" i="6"/>
  <c r="M6" i="5"/>
  <c r="E6" i="5" s="1"/>
  <c r="L6" i="5"/>
  <c r="C18" i="6"/>
  <c r="N58" i="5"/>
  <c r="O58" i="5" s="1"/>
  <c r="AC58" i="5" s="1"/>
  <c r="AD58" i="5" s="1"/>
  <c r="N60" i="5"/>
  <c r="O60" i="5" s="1"/>
  <c r="AC60" i="5" s="1"/>
  <c r="AD60" i="5" s="1"/>
  <c r="F25" i="5"/>
  <c r="AC25" i="5" s="1"/>
  <c r="AD25" i="5" s="1"/>
  <c r="N25" i="5"/>
  <c r="O25" i="5" s="1"/>
  <c r="N27" i="5"/>
  <c r="O27" i="5" s="1"/>
  <c r="AC5" i="5"/>
  <c r="AD5" i="5" s="1"/>
  <c r="N8" i="5"/>
  <c r="O8" i="5" s="1"/>
  <c r="N57" i="5"/>
  <c r="O57" i="5" s="1"/>
  <c r="N55" i="5"/>
  <c r="O55" i="5" s="1"/>
  <c r="AC55" i="5" s="1"/>
  <c r="AD55" i="5" s="1"/>
  <c r="N26" i="5"/>
  <c r="O26" i="5" s="1"/>
  <c r="D14" i="5"/>
  <c r="E45" i="6"/>
  <c r="AD39" i="5"/>
  <c r="E18" i="3"/>
  <c r="C18" i="3"/>
  <c r="B18" i="3"/>
  <c r="F18" i="3"/>
  <c r="B6" i="4" s="1"/>
  <c r="D18" i="3"/>
  <c r="D61" i="5"/>
  <c r="N20" i="5"/>
  <c r="O20" i="5" s="1"/>
  <c r="E37" i="6"/>
  <c r="AD35" i="5"/>
  <c r="D42" i="6"/>
  <c r="C42" i="6"/>
  <c r="M28" i="5"/>
  <c r="E28" i="5" s="1"/>
  <c r="E35" i="6"/>
  <c r="N53" i="5"/>
  <c r="O53" i="5" s="1"/>
  <c r="A2" i="5"/>
  <c r="AD34" i="5"/>
  <c r="AD38" i="5"/>
  <c r="N18" i="5"/>
  <c r="O18" i="5" s="1"/>
  <c r="AC19" i="5"/>
  <c r="AD41" i="5"/>
  <c r="N59" i="5"/>
  <c r="O59" i="5" s="1"/>
  <c r="AD17" i="5"/>
  <c r="AD37" i="5"/>
  <c r="B17" i="3"/>
  <c r="E17" i="3"/>
  <c r="F17" i="3"/>
  <c r="D17" i="3"/>
  <c r="C17" i="3"/>
  <c r="E27" i="6" l="1"/>
  <c r="F9" i="5"/>
  <c r="AC9" i="5" s="1"/>
  <c r="AD9" i="5" s="1"/>
  <c r="F8" i="5"/>
  <c r="AC8" i="5" s="1"/>
  <c r="AD8" i="5" s="1"/>
  <c r="E11" i="5"/>
  <c r="N11" i="5" s="1"/>
  <c r="O11" i="5" s="1"/>
  <c r="AB9" i="5"/>
  <c r="L28" i="5"/>
  <c r="N13" i="5"/>
  <c r="O13" i="5" s="1"/>
  <c r="AB27" i="5"/>
  <c r="N7" i="5"/>
  <c r="O7" i="5" s="1"/>
  <c r="AB26" i="5"/>
  <c r="AB7" i="5"/>
  <c r="E29" i="6"/>
  <c r="F12" i="5"/>
  <c r="AC12" i="5" s="1"/>
  <c r="AD12" i="5" s="1"/>
  <c r="N9" i="5"/>
  <c r="O9" i="5" s="1"/>
  <c r="F16" i="5"/>
  <c r="AC16" i="5" s="1"/>
  <c r="AD16" i="5" s="1"/>
  <c r="AB16" i="5"/>
  <c r="N52" i="5"/>
  <c r="O52" i="5" s="1"/>
  <c r="AC52" i="5" s="1"/>
  <c r="AD52" i="5" s="1"/>
  <c r="AB42" i="5"/>
  <c r="N42" i="5"/>
  <c r="O42" i="5" s="1"/>
  <c r="AC42" i="5" s="1"/>
  <c r="AD42" i="5" s="1"/>
  <c r="E16" i="6"/>
  <c r="N50" i="5"/>
  <c r="O50" i="5" s="1"/>
  <c r="AC50" i="5" s="1"/>
  <c r="AD50" i="5" s="1"/>
  <c r="AB46" i="5"/>
  <c r="AB12" i="5"/>
  <c r="E41" i="6"/>
  <c r="AB13" i="5"/>
  <c r="N12" i="5"/>
  <c r="O12" i="5" s="1"/>
  <c r="N16" i="5"/>
  <c r="O16" i="5" s="1"/>
  <c r="N46" i="5"/>
  <c r="O46" i="5" s="1"/>
  <c r="AC46" i="5" s="1"/>
  <c r="AD46" i="5" s="1"/>
  <c r="N24" i="5"/>
  <c r="O24" i="5" s="1"/>
  <c r="F47" i="5"/>
  <c r="AB30" i="5"/>
  <c r="N47" i="5"/>
  <c r="O47" i="5" s="1"/>
  <c r="AC47" i="5" s="1"/>
  <c r="AD47" i="5" s="1"/>
  <c r="N30" i="5"/>
  <c r="O30" i="5" s="1"/>
  <c r="E20" i="6"/>
  <c r="E18" i="6"/>
  <c r="N22" i="5"/>
  <c r="O22" i="5" s="1"/>
  <c r="F61" i="5"/>
  <c r="AB61" i="5"/>
  <c r="AB50" i="5"/>
  <c r="F50" i="5"/>
  <c r="N48" i="5"/>
  <c r="O48" i="5" s="1"/>
  <c r="AC48" i="5" s="1"/>
  <c r="AD48" i="5" s="1"/>
  <c r="F24" i="5"/>
  <c r="AC24" i="5" s="1"/>
  <c r="AD24" i="5" s="1"/>
  <c r="AB24" i="5"/>
  <c r="F22" i="5"/>
  <c r="AC22" i="5" s="1"/>
  <c r="AD22" i="5" s="1"/>
  <c r="AB22" i="5"/>
  <c r="AB48" i="5"/>
  <c r="F48" i="5"/>
  <c r="F14" i="5"/>
  <c r="AC14" i="5" s="1"/>
  <c r="AD14" i="5" s="1"/>
  <c r="AB14" i="5"/>
  <c r="F15" i="5"/>
  <c r="AC15" i="5" s="1"/>
  <c r="AD15" i="5" s="1"/>
  <c r="AB15" i="5"/>
  <c r="N4" i="5"/>
  <c r="O4" i="5" s="1"/>
  <c r="D3" i="5"/>
  <c r="N3" i="5" s="1"/>
  <c r="O3" i="5" s="1"/>
  <c r="D2" i="5"/>
  <c r="N2" i="5" s="1"/>
  <c r="F4" i="5"/>
  <c r="AC4" i="5" s="1"/>
  <c r="AD4" i="5" s="1"/>
  <c r="AB4" i="5"/>
  <c r="D6" i="5"/>
  <c r="N6" i="5" s="1"/>
  <c r="O6" i="5" s="1"/>
  <c r="AC57" i="5"/>
  <c r="AD57" i="5" s="1"/>
  <c r="N14" i="5"/>
  <c r="O14" i="5" s="1"/>
  <c r="N15" i="5"/>
  <c r="O15" i="5" s="1"/>
  <c r="E42" i="6"/>
  <c r="F19" i="3"/>
  <c r="C6" i="4" s="1"/>
  <c r="F20" i="3"/>
  <c r="D6" i="4" s="1"/>
  <c r="AC59" i="5"/>
  <c r="AD21" i="5"/>
  <c r="B5" i="4"/>
  <c r="F15" i="3"/>
  <c r="E19" i="3"/>
  <c r="C5" i="4" s="1"/>
  <c r="E20" i="3"/>
  <c r="D5" i="4" s="1"/>
  <c r="F14" i="3"/>
  <c r="F13" i="3" s="1"/>
  <c r="B19" i="3"/>
  <c r="C2" i="4" s="1"/>
  <c r="B20" i="3"/>
  <c r="D2" i="4" s="1"/>
  <c r="C14" i="3"/>
  <c r="C13" i="3" s="1"/>
  <c r="AD23" i="5"/>
  <c r="G4" i="7"/>
  <c r="G7" i="7"/>
  <c r="G10" i="7"/>
  <c r="G3" i="7"/>
  <c r="G12" i="7"/>
  <c r="H8" i="7"/>
  <c r="H12" i="7"/>
  <c r="H3" i="7"/>
  <c r="H6" i="7"/>
  <c r="G6" i="7"/>
  <c r="H7" i="7"/>
  <c r="H13" i="7"/>
  <c r="H9" i="7"/>
  <c r="G8" i="7"/>
  <c r="N61" i="5"/>
  <c r="O61" i="5" s="1"/>
  <c r="D28" i="5"/>
  <c r="AC53" i="5"/>
  <c r="E15" i="3"/>
  <c r="B4" i="4"/>
  <c r="D43" i="6"/>
  <c r="C43" i="6"/>
  <c r="M29" i="5"/>
  <c r="E29" i="5" s="1"/>
  <c r="L29" i="5"/>
  <c r="F75" i="6"/>
  <c r="F70" i="6"/>
  <c r="F65" i="6"/>
  <c r="F60" i="6"/>
  <c r="F55" i="6"/>
  <c r="F50" i="6"/>
  <c r="F45" i="6"/>
  <c r="F40" i="6"/>
  <c r="F35" i="6"/>
  <c r="F30" i="6"/>
  <c r="F25" i="6"/>
  <c r="F20" i="6"/>
  <c r="G46" i="5"/>
  <c r="G61" i="5"/>
  <c r="G56" i="5"/>
  <c r="V56" i="5" s="1"/>
  <c r="G51" i="5"/>
  <c r="V51" i="5" s="1"/>
  <c r="G36" i="5"/>
  <c r="V36" i="5" s="1"/>
  <c r="G26" i="5"/>
  <c r="V26" i="5" s="1"/>
  <c r="G16" i="5"/>
  <c r="G11" i="5"/>
  <c r="G6" i="5"/>
  <c r="G41" i="5"/>
  <c r="V41" i="5" s="1"/>
  <c r="G31" i="5"/>
  <c r="V31" i="5" s="1"/>
  <c r="G21" i="5"/>
  <c r="V21" i="5" s="1"/>
  <c r="C20" i="3"/>
  <c r="D3" i="4" s="1"/>
  <c r="D14" i="3"/>
  <c r="D13" i="3" s="1"/>
  <c r="C19" i="3"/>
  <c r="C3" i="4" s="1"/>
  <c r="AD44" i="5"/>
  <c r="B2" i="4"/>
  <c r="C15" i="3"/>
  <c r="D19" i="3"/>
  <c r="C4" i="4" s="1"/>
  <c r="D20" i="3"/>
  <c r="D4" i="4" s="1"/>
  <c r="E14" i="3"/>
  <c r="E13" i="3" s="1"/>
  <c r="AD19" i="5"/>
  <c r="B3" i="4"/>
  <c r="D15" i="3"/>
  <c r="V11" i="5" l="1"/>
  <c r="H4" i="7"/>
  <c r="G11" i="7"/>
  <c r="H5" i="7"/>
  <c r="F11" i="5"/>
  <c r="AB11" i="5"/>
  <c r="V46" i="5"/>
  <c r="H10" i="7"/>
  <c r="G9" i="7"/>
  <c r="V16" i="5"/>
  <c r="G5" i="7"/>
  <c r="G13" i="7"/>
  <c r="O2" i="5"/>
  <c r="G14" i="7"/>
  <c r="F28" i="5"/>
  <c r="AB28" i="5"/>
  <c r="AB6" i="5"/>
  <c r="F6" i="5"/>
  <c r="V6" i="5"/>
  <c r="AB2" i="5"/>
  <c r="F2" i="5"/>
  <c r="AC2" i="5" s="1"/>
  <c r="AD2" i="5" s="1"/>
  <c r="F3" i="5"/>
  <c r="AC3" i="5" s="1"/>
  <c r="AD3" i="5" s="1"/>
  <c r="AB3" i="5"/>
  <c r="H73" i="6"/>
  <c r="H68" i="6"/>
  <c r="H63" i="6"/>
  <c r="H58" i="6"/>
  <c r="H53" i="6"/>
  <c r="H48" i="6"/>
  <c r="H43" i="6"/>
  <c r="H38" i="6"/>
  <c r="H33" i="6"/>
  <c r="H28" i="6"/>
  <c r="H23" i="6"/>
  <c r="I59" i="5"/>
  <c r="S59" i="5" s="1"/>
  <c r="I54" i="5"/>
  <c r="S54" i="5" s="1"/>
  <c r="I49" i="5"/>
  <c r="S49" i="5" s="1"/>
  <c r="H18" i="6"/>
  <c r="I44" i="5"/>
  <c r="S44" i="5" s="1"/>
  <c r="I39" i="5"/>
  <c r="S39" i="5" s="1"/>
  <c r="I34" i="5"/>
  <c r="S34" i="5" s="1"/>
  <c r="I29" i="5"/>
  <c r="S29" i="5" s="1"/>
  <c r="I24" i="5"/>
  <c r="S24" i="5" s="1"/>
  <c r="I14" i="5"/>
  <c r="S14" i="5" s="1"/>
  <c r="I9" i="5"/>
  <c r="S9" i="5" s="1"/>
  <c r="I4" i="5"/>
  <c r="S4" i="5" s="1"/>
  <c r="I19" i="5"/>
  <c r="S19" i="5" s="1"/>
  <c r="AC28" i="5"/>
  <c r="H59" i="5"/>
  <c r="R59" i="5" s="1"/>
  <c r="G53" i="6"/>
  <c r="G43" i="6"/>
  <c r="G33" i="6"/>
  <c r="G23" i="6"/>
  <c r="H44" i="5"/>
  <c r="R44" i="5" s="1"/>
  <c r="G48" i="6"/>
  <c r="G58" i="6"/>
  <c r="G38" i="6"/>
  <c r="G28" i="6"/>
  <c r="G73" i="6"/>
  <c r="G63" i="6"/>
  <c r="G18" i="6"/>
  <c r="G68" i="6"/>
  <c r="H54" i="5"/>
  <c r="R54" i="5" s="1"/>
  <c r="H49" i="5"/>
  <c r="R49" i="5" s="1"/>
  <c r="H39" i="5"/>
  <c r="R39" i="5" s="1"/>
  <c r="H34" i="5"/>
  <c r="R34" i="5" s="1"/>
  <c r="H29" i="5"/>
  <c r="R29" i="5" s="1"/>
  <c r="H24" i="5"/>
  <c r="R24" i="5" s="1"/>
  <c r="H14" i="5"/>
  <c r="R14" i="5" s="1"/>
  <c r="H9" i="5"/>
  <c r="R9" i="5" s="1"/>
  <c r="H4" i="5"/>
  <c r="R4" i="5" s="1"/>
  <c r="H19" i="5"/>
  <c r="R19" i="5" s="1"/>
  <c r="N28" i="5"/>
  <c r="O28" i="5" s="1"/>
  <c r="H74" i="6"/>
  <c r="H69" i="6"/>
  <c r="H64" i="6"/>
  <c r="H59" i="6"/>
  <c r="H54" i="6"/>
  <c r="H49" i="6"/>
  <c r="H44" i="6"/>
  <c r="H39" i="6"/>
  <c r="H34" i="6"/>
  <c r="H29" i="6"/>
  <c r="H24" i="6"/>
  <c r="I50" i="5"/>
  <c r="S50" i="5" s="1"/>
  <c r="H19" i="6"/>
  <c r="I45" i="5"/>
  <c r="S45" i="5" s="1"/>
  <c r="I55" i="5"/>
  <c r="S55" i="5" s="1"/>
  <c r="I40" i="5"/>
  <c r="S40" i="5" s="1"/>
  <c r="I35" i="5"/>
  <c r="S35" i="5" s="1"/>
  <c r="I30" i="5"/>
  <c r="S30" i="5" s="1"/>
  <c r="I60" i="5"/>
  <c r="S60" i="5" s="1"/>
  <c r="I20" i="5"/>
  <c r="S20" i="5" s="1"/>
  <c r="I15" i="5"/>
  <c r="S15" i="5" s="1"/>
  <c r="I10" i="5"/>
  <c r="S10" i="5" s="1"/>
  <c r="I5" i="5"/>
  <c r="S5" i="5" s="1"/>
  <c r="I25" i="5"/>
  <c r="S25" i="5" s="1"/>
  <c r="AD59" i="5"/>
  <c r="AD53" i="5"/>
  <c r="H60" i="5"/>
  <c r="R60" i="5" s="1"/>
  <c r="G39" i="6"/>
  <c r="G29" i="6"/>
  <c r="G19" i="6"/>
  <c r="H45" i="5"/>
  <c r="R45" i="5" s="1"/>
  <c r="G74" i="6"/>
  <c r="G69" i="6"/>
  <c r="G64" i="6"/>
  <c r="G54" i="6"/>
  <c r="G49" i="6"/>
  <c r="G44" i="6"/>
  <c r="G34" i="6"/>
  <c r="G24" i="6"/>
  <c r="G59" i="6"/>
  <c r="H50" i="5"/>
  <c r="R50" i="5" s="1"/>
  <c r="H55" i="5"/>
  <c r="R55" i="5" s="1"/>
  <c r="H40" i="5"/>
  <c r="R40" i="5" s="1"/>
  <c r="H35" i="5"/>
  <c r="R35" i="5" s="1"/>
  <c r="H30" i="5"/>
  <c r="R30" i="5" s="1"/>
  <c r="H20" i="5"/>
  <c r="R20" i="5" s="1"/>
  <c r="H15" i="5"/>
  <c r="R15" i="5" s="1"/>
  <c r="H10" i="5"/>
  <c r="R10" i="5" s="1"/>
  <c r="H5" i="5"/>
  <c r="R5" i="5" s="1"/>
  <c r="H25" i="5"/>
  <c r="R25" i="5" s="1"/>
  <c r="H75" i="6"/>
  <c r="H70" i="6"/>
  <c r="H65" i="6"/>
  <c r="H60" i="6"/>
  <c r="H55" i="6"/>
  <c r="H50" i="6"/>
  <c r="H45" i="6"/>
  <c r="H40" i="6"/>
  <c r="H35" i="6"/>
  <c r="H30" i="6"/>
  <c r="H25" i="6"/>
  <c r="H20" i="6"/>
  <c r="I56" i="5"/>
  <c r="S56" i="5" s="1"/>
  <c r="I61" i="5"/>
  <c r="S61" i="5" s="1"/>
  <c r="I46" i="5"/>
  <c r="S46" i="5" s="1"/>
  <c r="I41" i="5"/>
  <c r="S41" i="5" s="1"/>
  <c r="I36" i="5"/>
  <c r="S36" i="5" s="1"/>
  <c r="I31" i="5"/>
  <c r="S31" i="5" s="1"/>
  <c r="I51" i="5"/>
  <c r="S51" i="5" s="1"/>
  <c r="I26" i="5"/>
  <c r="S26" i="5" s="1"/>
  <c r="I16" i="5"/>
  <c r="S16" i="5" s="1"/>
  <c r="I11" i="5"/>
  <c r="S11" i="5" s="1"/>
  <c r="I6" i="5"/>
  <c r="S6" i="5" s="1"/>
  <c r="I21" i="5"/>
  <c r="S21" i="5" s="1"/>
  <c r="F74" i="6"/>
  <c r="F69" i="6"/>
  <c r="F64" i="6"/>
  <c r="F59" i="6"/>
  <c r="F54" i="6"/>
  <c r="F49" i="6"/>
  <c r="F44" i="6"/>
  <c r="F39" i="6"/>
  <c r="F34" i="6"/>
  <c r="F29" i="6"/>
  <c r="F24" i="6"/>
  <c r="F19" i="6"/>
  <c r="G60" i="5"/>
  <c r="V60" i="5" s="1"/>
  <c r="G45" i="5"/>
  <c r="V45" i="5" s="1"/>
  <c r="G50" i="5"/>
  <c r="V50" i="5" s="1"/>
  <c r="G55" i="5"/>
  <c r="V55" i="5" s="1"/>
  <c r="G30" i="5"/>
  <c r="V30" i="5" s="1"/>
  <c r="G40" i="5"/>
  <c r="V40" i="5" s="1"/>
  <c r="G20" i="5"/>
  <c r="V20" i="5" s="1"/>
  <c r="G15" i="5"/>
  <c r="V15" i="5" s="1"/>
  <c r="G10" i="5"/>
  <c r="V10" i="5" s="1"/>
  <c r="G5" i="5"/>
  <c r="V5" i="5" s="1"/>
  <c r="G25" i="5"/>
  <c r="V25" i="5" s="1"/>
  <c r="G35" i="5"/>
  <c r="V35" i="5" s="1"/>
  <c r="H61" i="5"/>
  <c r="R61" i="5" s="1"/>
  <c r="G45" i="6"/>
  <c r="G35" i="6"/>
  <c r="G25" i="6"/>
  <c r="H46" i="5"/>
  <c r="R46" i="5" s="1"/>
  <c r="G60" i="6"/>
  <c r="G20" i="6"/>
  <c r="G75" i="6"/>
  <c r="G40" i="6"/>
  <c r="G30" i="6"/>
  <c r="G70" i="6"/>
  <c r="G65" i="6"/>
  <c r="G55" i="6"/>
  <c r="H41" i="5"/>
  <c r="R41" i="5" s="1"/>
  <c r="H36" i="5"/>
  <c r="R36" i="5" s="1"/>
  <c r="H31" i="5"/>
  <c r="R31" i="5" s="1"/>
  <c r="H56" i="5"/>
  <c r="R56" i="5" s="1"/>
  <c r="H26" i="5"/>
  <c r="R26" i="5" s="1"/>
  <c r="H16" i="5"/>
  <c r="R16" i="5" s="1"/>
  <c r="H11" i="5"/>
  <c r="R11" i="5" s="1"/>
  <c r="H6" i="5"/>
  <c r="R6" i="5" s="1"/>
  <c r="G50" i="6"/>
  <c r="H21" i="5"/>
  <c r="R21" i="5" s="1"/>
  <c r="H51" i="5"/>
  <c r="R51" i="5" s="1"/>
  <c r="F72" i="6"/>
  <c r="F67" i="6"/>
  <c r="F62" i="6"/>
  <c r="F57" i="6"/>
  <c r="F52" i="6"/>
  <c r="F47" i="6"/>
  <c r="F42" i="6"/>
  <c r="F37" i="6"/>
  <c r="F32" i="6"/>
  <c r="F27" i="6"/>
  <c r="F22" i="6"/>
  <c r="F17" i="6"/>
  <c r="G53" i="5"/>
  <c r="V53" i="5" s="1"/>
  <c r="G48" i="5"/>
  <c r="V48" i="5" s="1"/>
  <c r="G58" i="5"/>
  <c r="V58" i="5" s="1"/>
  <c r="G43" i="5"/>
  <c r="V43" i="5" s="1"/>
  <c r="G28" i="5"/>
  <c r="G18" i="5"/>
  <c r="V18" i="5" s="1"/>
  <c r="G13" i="5"/>
  <c r="V13" i="5" s="1"/>
  <c r="G8" i="5"/>
  <c r="V8" i="5" s="1"/>
  <c r="G3" i="5"/>
  <c r="V3" i="5" s="1"/>
  <c r="G33" i="5"/>
  <c r="V33" i="5" s="1"/>
  <c r="G38" i="5"/>
  <c r="V38" i="5" s="1"/>
  <c r="G23" i="5"/>
  <c r="V23" i="5" s="1"/>
  <c r="G37" i="6"/>
  <c r="G27" i="6"/>
  <c r="H43" i="5"/>
  <c r="R43" i="5" s="1"/>
  <c r="G62" i="6"/>
  <c r="G72" i="6"/>
  <c r="G67" i="6"/>
  <c r="G42" i="6"/>
  <c r="G32" i="6"/>
  <c r="G17" i="6"/>
  <c r="G57" i="6"/>
  <c r="G47" i="6"/>
  <c r="G22" i="6"/>
  <c r="H53" i="5"/>
  <c r="R53" i="5" s="1"/>
  <c r="H48" i="5"/>
  <c r="R48" i="5" s="1"/>
  <c r="H58" i="5"/>
  <c r="R58" i="5" s="1"/>
  <c r="G52" i="6"/>
  <c r="H38" i="5"/>
  <c r="R38" i="5" s="1"/>
  <c r="H33" i="5"/>
  <c r="R33" i="5" s="1"/>
  <c r="H28" i="5"/>
  <c r="R28" i="5" s="1"/>
  <c r="H18" i="5"/>
  <c r="R18" i="5" s="1"/>
  <c r="H13" i="5"/>
  <c r="R13" i="5" s="1"/>
  <c r="H8" i="5"/>
  <c r="R8" i="5" s="1"/>
  <c r="H3" i="5"/>
  <c r="R3" i="5" s="1"/>
  <c r="H23" i="5"/>
  <c r="R23" i="5" s="1"/>
  <c r="D29" i="5"/>
  <c r="V61" i="5"/>
  <c r="AC61" i="5"/>
  <c r="H71" i="6"/>
  <c r="H66" i="6"/>
  <c r="H61" i="6"/>
  <c r="H56" i="6"/>
  <c r="H51" i="6"/>
  <c r="H46" i="6"/>
  <c r="H41" i="6"/>
  <c r="H36" i="6"/>
  <c r="H31" i="6"/>
  <c r="H26" i="6"/>
  <c r="H16" i="6"/>
  <c r="I52" i="5"/>
  <c r="S52" i="5" s="1"/>
  <c r="H21" i="6"/>
  <c r="I57" i="5"/>
  <c r="S57" i="5" s="1"/>
  <c r="I47" i="5"/>
  <c r="S47" i="5" s="1"/>
  <c r="I42" i="5"/>
  <c r="S42" i="5" s="1"/>
  <c r="I37" i="5"/>
  <c r="S37" i="5" s="1"/>
  <c r="I32" i="5"/>
  <c r="S32" i="5" s="1"/>
  <c r="I22" i="5"/>
  <c r="S22" i="5" s="1"/>
  <c r="I12" i="5"/>
  <c r="S12" i="5" s="1"/>
  <c r="I7" i="5"/>
  <c r="S7" i="5" s="1"/>
  <c r="I2" i="5"/>
  <c r="S2" i="5" s="1"/>
  <c r="I27" i="5"/>
  <c r="S27" i="5" s="1"/>
  <c r="I17" i="5"/>
  <c r="S17" i="5" s="1"/>
  <c r="F71" i="6"/>
  <c r="F66" i="6"/>
  <c r="F61" i="6"/>
  <c r="F56" i="6"/>
  <c r="F51" i="6"/>
  <c r="F46" i="6"/>
  <c r="F41" i="6"/>
  <c r="F36" i="6"/>
  <c r="F31" i="6"/>
  <c r="F26" i="6"/>
  <c r="F21" i="6"/>
  <c r="G47" i="5"/>
  <c r="V47" i="5" s="1"/>
  <c r="F16" i="6"/>
  <c r="G52" i="5"/>
  <c r="V52" i="5" s="1"/>
  <c r="G57" i="5"/>
  <c r="V57" i="5" s="1"/>
  <c r="G22" i="5"/>
  <c r="V22" i="5" s="1"/>
  <c r="G12" i="5"/>
  <c r="V12" i="5" s="1"/>
  <c r="G7" i="5"/>
  <c r="V7" i="5" s="1"/>
  <c r="G2" i="5"/>
  <c r="G37" i="5"/>
  <c r="V37" i="5" s="1"/>
  <c r="G32" i="5"/>
  <c r="V32" i="5" s="1"/>
  <c r="G42" i="5"/>
  <c r="V42" i="5" s="1"/>
  <c r="G27" i="5"/>
  <c r="V27" i="5" s="1"/>
  <c r="G17" i="5"/>
  <c r="V17" i="5" s="1"/>
  <c r="H72" i="6"/>
  <c r="H67" i="6"/>
  <c r="H62" i="6"/>
  <c r="H57" i="6"/>
  <c r="H52" i="6"/>
  <c r="H47" i="6"/>
  <c r="H42" i="6"/>
  <c r="H37" i="6"/>
  <c r="H32" i="6"/>
  <c r="H27" i="6"/>
  <c r="I58" i="5"/>
  <c r="S58" i="5" s="1"/>
  <c r="I48" i="5"/>
  <c r="S48" i="5" s="1"/>
  <c r="H17" i="6"/>
  <c r="I53" i="5"/>
  <c r="S53" i="5" s="1"/>
  <c r="H22" i="6"/>
  <c r="I38" i="5"/>
  <c r="S38" i="5" s="1"/>
  <c r="I33" i="5"/>
  <c r="S33" i="5" s="1"/>
  <c r="I28" i="5"/>
  <c r="S28" i="5" s="1"/>
  <c r="I43" i="5"/>
  <c r="S43" i="5" s="1"/>
  <c r="I18" i="5"/>
  <c r="S18" i="5" s="1"/>
  <c r="I13" i="5"/>
  <c r="S13" i="5" s="1"/>
  <c r="I8" i="5"/>
  <c r="S8" i="5" s="1"/>
  <c r="I3" i="5"/>
  <c r="S3" i="5" s="1"/>
  <c r="I23" i="5"/>
  <c r="S23" i="5" s="1"/>
  <c r="E43" i="6"/>
  <c r="F73" i="6"/>
  <c r="F68" i="6"/>
  <c r="F63" i="6"/>
  <c r="F58" i="6"/>
  <c r="F53" i="6"/>
  <c r="F48" i="6"/>
  <c r="F43" i="6"/>
  <c r="F38" i="6"/>
  <c r="F33" i="6"/>
  <c r="F28" i="6"/>
  <c r="F23" i="6"/>
  <c r="F18" i="6"/>
  <c r="G59" i="5"/>
  <c r="V59" i="5" s="1"/>
  <c r="G44" i="5"/>
  <c r="V44" i="5" s="1"/>
  <c r="G54" i="5"/>
  <c r="V54" i="5" s="1"/>
  <c r="G49" i="5"/>
  <c r="V49" i="5" s="1"/>
  <c r="G24" i="5"/>
  <c r="V24" i="5" s="1"/>
  <c r="G14" i="5"/>
  <c r="V14" i="5" s="1"/>
  <c r="G9" i="5"/>
  <c r="V9" i="5" s="1"/>
  <c r="G4" i="5"/>
  <c r="V4" i="5" s="1"/>
  <c r="G29" i="5"/>
  <c r="G34" i="5"/>
  <c r="V34" i="5" s="1"/>
  <c r="G19" i="5"/>
  <c r="V19" i="5" s="1"/>
  <c r="G39" i="5"/>
  <c r="V39" i="5" s="1"/>
  <c r="G71" i="6"/>
  <c r="G41" i="6"/>
  <c r="G31" i="6"/>
  <c r="H47" i="5"/>
  <c r="R47" i="5" s="1"/>
  <c r="G66" i="6"/>
  <c r="G56" i="6"/>
  <c r="G51" i="6"/>
  <c r="G16" i="6"/>
  <c r="G46" i="6"/>
  <c r="G36" i="6"/>
  <c r="G26" i="6"/>
  <c r="G21" i="6"/>
  <c r="G61" i="6"/>
  <c r="H57" i="5"/>
  <c r="R57" i="5" s="1"/>
  <c r="H42" i="5"/>
  <c r="R42" i="5" s="1"/>
  <c r="H37" i="5"/>
  <c r="R37" i="5" s="1"/>
  <c r="H32" i="5"/>
  <c r="R32" i="5" s="1"/>
  <c r="H52" i="5"/>
  <c r="R52" i="5" s="1"/>
  <c r="H22" i="5"/>
  <c r="R22" i="5" s="1"/>
  <c r="H12" i="5"/>
  <c r="R12" i="5" s="1"/>
  <c r="H7" i="5"/>
  <c r="R7" i="5" s="1"/>
  <c r="H2" i="5"/>
  <c r="R2" i="5" s="1"/>
  <c r="H27" i="5"/>
  <c r="R27" i="5" s="1"/>
  <c r="H17" i="5"/>
  <c r="R17" i="5" s="1"/>
  <c r="AC11" i="5" l="1"/>
  <c r="AD11" i="5" s="1"/>
  <c r="H11" i="7"/>
  <c r="V2" i="5"/>
  <c r="U51" i="5"/>
  <c r="W51" i="5" s="1"/>
  <c r="F29" i="5"/>
  <c r="AC29" i="5" s="1"/>
  <c r="AB29" i="5"/>
  <c r="U37" i="5"/>
  <c r="W37" i="5" s="1"/>
  <c r="AE37" i="5" s="1"/>
  <c r="AF37" i="5" s="1"/>
  <c r="AC6" i="5"/>
  <c r="AD6" i="5" s="1"/>
  <c r="H14" i="7"/>
  <c r="U31" i="5"/>
  <c r="W31" i="5" s="1"/>
  <c r="AE31" i="5" s="1"/>
  <c r="AF31" i="5" s="1"/>
  <c r="U32" i="5"/>
  <c r="W32" i="5" s="1"/>
  <c r="AE32" i="5" s="1"/>
  <c r="AF32" i="5" s="1"/>
  <c r="U6" i="5"/>
  <c r="W6" i="5" s="1"/>
  <c r="AE6" i="5" s="1"/>
  <c r="U27" i="5"/>
  <c r="W27" i="5" s="1"/>
  <c r="Z27" i="5" s="1"/>
  <c r="AA27" i="5" s="1"/>
  <c r="U61" i="5"/>
  <c r="W61" i="5" s="1"/>
  <c r="U20" i="5"/>
  <c r="W20" i="5" s="1"/>
  <c r="U46" i="5"/>
  <c r="W46" i="5" s="1"/>
  <c r="AE46" i="5" s="1"/>
  <c r="AF46" i="5" s="1"/>
  <c r="L10" i="7" s="1"/>
  <c r="U11" i="5"/>
  <c r="W11" i="5" s="1"/>
  <c r="AE11" i="5" s="1"/>
  <c r="AF11" i="5" s="1"/>
  <c r="L11" i="7" s="1"/>
  <c r="U14" i="5"/>
  <c r="W14" i="5" s="1"/>
  <c r="Z14" i="5" s="1"/>
  <c r="AA14" i="5" s="1"/>
  <c r="U56" i="5"/>
  <c r="W56" i="5" s="1"/>
  <c r="Z56" i="5" s="1"/>
  <c r="AA56" i="5" s="1"/>
  <c r="U17" i="5"/>
  <c r="W17" i="5" s="1"/>
  <c r="U2" i="5"/>
  <c r="W2" i="5" s="1"/>
  <c r="U57" i="5"/>
  <c r="W57" i="5" s="1"/>
  <c r="AE57" i="5" s="1"/>
  <c r="U13" i="5"/>
  <c r="W13" i="5" s="1"/>
  <c r="AE13" i="5" s="1"/>
  <c r="AF13" i="5" s="1"/>
  <c r="U53" i="5"/>
  <c r="W53" i="5" s="1"/>
  <c r="Z53" i="5" s="1"/>
  <c r="AA53" i="5" s="1"/>
  <c r="U36" i="5"/>
  <c r="W36" i="5" s="1"/>
  <c r="X36" i="5" s="1"/>
  <c r="D3" i="7" s="1"/>
  <c r="U16" i="5"/>
  <c r="W16" i="5" s="1"/>
  <c r="Z16" i="5" s="1"/>
  <c r="AA16" i="5" s="1"/>
  <c r="N29" i="5"/>
  <c r="O29" i="5" s="1"/>
  <c r="V29" i="5" s="1"/>
  <c r="U42" i="5"/>
  <c r="W42" i="5" s="1"/>
  <c r="U18" i="5"/>
  <c r="W18" i="5" s="1"/>
  <c r="U30" i="5"/>
  <c r="W30" i="5" s="1"/>
  <c r="U24" i="5"/>
  <c r="W24" i="5" s="1"/>
  <c r="AD28" i="5"/>
  <c r="Z37" i="5"/>
  <c r="AA37" i="5" s="1"/>
  <c r="U28" i="5"/>
  <c r="U43" i="5"/>
  <c r="W43" i="5" s="1"/>
  <c r="U35" i="5"/>
  <c r="W35" i="5" s="1"/>
  <c r="V28" i="5"/>
  <c r="U29" i="5"/>
  <c r="U7" i="5"/>
  <c r="W7" i="5" s="1"/>
  <c r="U33" i="5"/>
  <c r="W33" i="5" s="1"/>
  <c r="U26" i="5"/>
  <c r="W26" i="5" s="1"/>
  <c r="U40" i="5"/>
  <c r="W40" i="5" s="1"/>
  <c r="U60" i="5"/>
  <c r="W60" i="5" s="1"/>
  <c r="U34" i="5"/>
  <c r="W34" i="5" s="1"/>
  <c r="U47" i="5"/>
  <c r="W47" i="5" s="1"/>
  <c r="U38" i="5"/>
  <c r="W38" i="5" s="1"/>
  <c r="U25" i="5"/>
  <c r="W25" i="5" s="1"/>
  <c r="U55" i="5"/>
  <c r="W55" i="5" s="1"/>
  <c r="U39" i="5"/>
  <c r="W39" i="5" s="1"/>
  <c r="U22" i="5"/>
  <c r="W22" i="5" s="1"/>
  <c r="U23" i="5"/>
  <c r="W23" i="5" s="1"/>
  <c r="AE51" i="5"/>
  <c r="AF51" i="5" s="1"/>
  <c r="L7" i="7" s="1"/>
  <c r="Z51" i="5"/>
  <c r="AA51" i="5" s="1"/>
  <c r="X51" i="5"/>
  <c r="D7" i="7" s="1"/>
  <c r="U5" i="5"/>
  <c r="W5" i="5" s="1"/>
  <c r="U50" i="5"/>
  <c r="W50" i="5" s="1"/>
  <c r="U19" i="5"/>
  <c r="W19" i="5" s="1"/>
  <c r="U49" i="5"/>
  <c r="W49" i="5" s="1"/>
  <c r="U59" i="5"/>
  <c r="W59" i="5" s="1"/>
  <c r="U12" i="5"/>
  <c r="W12" i="5" s="1"/>
  <c r="U52" i="5"/>
  <c r="W52" i="5" s="1"/>
  <c r="U3" i="5"/>
  <c r="W3" i="5" s="1"/>
  <c r="U58" i="5"/>
  <c r="W58" i="5" s="1"/>
  <c r="U21" i="5"/>
  <c r="W21" i="5" s="1"/>
  <c r="U10" i="5"/>
  <c r="W10" i="5" s="1"/>
  <c r="U4" i="5"/>
  <c r="W4" i="5" s="1"/>
  <c r="U54" i="5"/>
  <c r="W54" i="5" s="1"/>
  <c r="AD61" i="5"/>
  <c r="U8" i="5"/>
  <c r="W8" i="5" s="1"/>
  <c r="U48" i="5"/>
  <c r="W48" i="5" s="1"/>
  <c r="U41" i="5"/>
  <c r="W41" i="5" s="1"/>
  <c r="U15" i="5"/>
  <c r="W15" i="5" s="1"/>
  <c r="U45" i="5"/>
  <c r="W45" i="5" s="1"/>
  <c r="U9" i="5"/>
  <c r="W9" i="5" s="1"/>
  <c r="U44" i="5"/>
  <c r="W44" i="5" s="1"/>
  <c r="X37" i="5" l="1"/>
  <c r="AF6" i="5"/>
  <c r="L14" i="7" s="1"/>
  <c r="X31" i="5"/>
  <c r="D12" i="7" s="1"/>
  <c r="Z6" i="5"/>
  <c r="AA6" i="5" s="1"/>
  <c r="Z31" i="5"/>
  <c r="AA31" i="5" s="1"/>
  <c r="X6" i="5"/>
  <c r="D14" i="7" s="1"/>
  <c r="X56" i="5"/>
  <c r="D9" i="7" s="1"/>
  <c r="AE56" i="5"/>
  <c r="AF56" i="5" s="1"/>
  <c r="L9" i="7" s="1"/>
  <c r="X46" i="5"/>
  <c r="D10" i="7" s="1"/>
  <c r="Z46" i="5"/>
  <c r="AA46" i="5" s="1"/>
  <c r="Z32" i="5"/>
  <c r="AA32" i="5" s="1"/>
  <c r="X32" i="5"/>
  <c r="Z17" i="5"/>
  <c r="AA17" i="5" s="1"/>
  <c r="AE17" i="5"/>
  <c r="AF17" i="5" s="1"/>
  <c r="AE36" i="5"/>
  <c r="AF36" i="5" s="1"/>
  <c r="L3" i="7" s="1"/>
  <c r="Z36" i="5"/>
  <c r="AA36" i="5" s="1"/>
  <c r="AE53" i="5"/>
  <c r="AF53" i="5" s="1"/>
  <c r="X11" i="5"/>
  <c r="D11" i="7" s="1"/>
  <c r="Z11" i="5"/>
  <c r="AA11" i="5" s="1"/>
  <c r="AF57" i="5"/>
  <c r="X57" i="5"/>
  <c r="Z20" i="5"/>
  <c r="AA20" i="5" s="1"/>
  <c r="AE20" i="5"/>
  <c r="AF20" i="5" s="1"/>
  <c r="X20" i="5"/>
  <c r="X13" i="5"/>
  <c r="Z13" i="5"/>
  <c r="AA13" i="5" s="1"/>
  <c r="X53" i="5"/>
  <c r="AE2" i="5"/>
  <c r="AF2" i="5" s="1"/>
  <c r="Z2" i="5"/>
  <c r="AA2" i="5" s="1"/>
  <c r="X2" i="5"/>
  <c r="X16" i="5"/>
  <c r="D5" i="7" s="1"/>
  <c r="AE16" i="5"/>
  <c r="AF16" i="5" s="1"/>
  <c r="L5" i="7" s="1"/>
  <c r="X27" i="5"/>
  <c r="AE27" i="5"/>
  <c r="AF27" i="5" s="1"/>
  <c r="W29" i="5"/>
  <c r="X29" i="5" s="1"/>
  <c r="C12" i="7" s="1"/>
  <c r="AE14" i="5"/>
  <c r="AF14" i="5" s="1"/>
  <c r="K5" i="7" s="1"/>
  <c r="Z57" i="5"/>
  <c r="AA57" i="5" s="1"/>
  <c r="X17" i="5"/>
  <c r="X14" i="5"/>
  <c r="C5" i="7" s="1"/>
  <c r="W28" i="5"/>
  <c r="X28" i="5" s="1"/>
  <c r="Z24" i="5"/>
  <c r="AA24" i="5" s="1"/>
  <c r="AE24" i="5"/>
  <c r="AF24" i="5" s="1"/>
  <c r="K13" i="7" s="1"/>
  <c r="X24" i="5"/>
  <c r="C13" i="7" s="1"/>
  <c r="Z35" i="5"/>
  <c r="AA35" i="5" s="1"/>
  <c r="AE35" i="5"/>
  <c r="AF35" i="5" s="1"/>
  <c r="X35" i="5"/>
  <c r="AE30" i="5"/>
  <c r="AF30" i="5" s="1"/>
  <c r="Z30" i="5"/>
  <c r="AA30" i="5" s="1"/>
  <c r="X30" i="5"/>
  <c r="AE49" i="5"/>
  <c r="AF49" i="5" s="1"/>
  <c r="K7" i="7" s="1"/>
  <c r="Z49" i="5"/>
  <c r="AA49" i="5" s="1"/>
  <c r="X49" i="5"/>
  <c r="C7" i="7" s="1"/>
  <c r="Z41" i="5"/>
  <c r="AA41" i="5" s="1"/>
  <c r="AE41" i="5"/>
  <c r="AF41" i="5" s="1"/>
  <c r="X41" i="5"/>
  <c r="D6" i="7" s="1"/>
  <c r="AE19" i="5"/>
  <c r="AF19" i="5" s="1"/>
  <c r="K8" i="7" s="1"/>
  <c r="Z19" i="5"/>
  <c r="AA19" i="5" s="1"/>
  <c r="X19" i="5"/>
  <c r="C8" i="7" s="1"/>
  <c r="Z34" i="5"/>
  <c r="AA34" i="5" s="1"/>
  <c r="AE34" i="5"/>
  <c r="AF34" i="5" s="1"/>
  <c r="K3" i="7" s="1"/>
  <c r="X34" i="5"/>
  <c r="C3" i="7" s="1"/>
  <c r="AE7" i="5"/>
  <c r="AF7" i="5" s="1"/>
  <c r="Z7" i="5"/>
  <c r="AA7" i="5" s="1"/>
  <c r="X7" i="5"/>
  <c r="Z48" i="5"/>
  <c r="AA48" i="5" s="1"/>
  <c r="AE48" i="5"/>
  <c r="AF48" i="5" s="1"/>
  <c r="X48" i="5"/>
  <c r="AE21" i="5"/>
  <c r="AF21" i="5" s="1"/>
  <c r="L8" i="7" s="1"/>
  <c r="Z21" i="5"/>
  <c r="AA21" i="5" s="1"/>
  <c r="X21" i="5"/>
  <c r="D8" i="7" s="1"/>
  <c r="AE60" i="5"/>
  <c r="AF60" i="5" s="1"/>
  <c r="Z60" i="5"/>
  <c r="AA60" i="5" s="1"/>
  <c r="X60" i="5"/>
  <c r="AE25" i="5"/>
  <c r="AF25" i="5" s="1"/>
  <c r="Z25" i="5"/>
  <c r="AA25" i="5" s="1"/>
  <c r="X25" i="5"/>
  <c r="AE58" i="5"/>
  <c r="AF58" i="5" s="1"/>
  <c r="Z58" i="5"/>
  <c r="AA58" i="5" s="1"/>
  <c r="X58" i="5"/>
  <c r="Z50" i="5"/>
  <c r="AA50" i="5" s="1"/>
  <c r="AE50" i="5"/>
  <c r="AF50" i="5" s="1"/>
  <c r="X50" i="5"/>
  <c r="Z38" i="5"/>
  <c r="AA38" i="5" s="1"/>
  <c r="AE38" i="5"/>
  <c r="AF38" i="5" s="1"/>
  <c r="X38" i="5"/>
  <c r="Z40" i="5"/>
  <c r="AA40" i="5" s="1"/>
  <c r="AE40" i="5"/>
  <c r="AF40" i="5" s="1"/>
  <c r="X40" i="5"/>
  <c r="AE15" i="5"/>
  <c r="AF15" i="5" s="1"/>
  <c r="Z15" i="5"/>
  <c r="AA15" i="5" s="1"/>
  <c r="X15" i="5"/>
  <c r="AE59" i="5"/>
  <c r="AF59" i="5" s="1"/>
  <c r="K4" i="7" s="1"/>
  <c r="Z59" i="5"/>
  <c r="AA59" i="5" s="1"/>
  <c r="X59" i="5"/>
  <c r="C4" i="7" s="1"/>
  <c r="AE61" i="5"/>
  <c r="AF61" i="5" s="1"/>
  <c r="L4" i="7" s="1"/>
  <c r="Z61" i="5"/>
  <c r="AA61" i="5" s="1"/>
  <c r="X61" i="5"/>
  <c r="D4" i="7" s="1"/>
  <c r="AE8" i="5"/>
  <c r="AF8" i="5" s="1"/>
  <c r="Z8" i="5"/>
  <c r="AA8" i="5" s="1"/>
  <c r="X8" i="5"/>
  <c r="AE23" i="5"/>
  <c r="AF23" i="5" s="1"/>
  <c r="Z23" i="5"/>
  <c r="AA23" i="5" s="1"/>
  <c r="X23" i="5"/>
  <c r="AE44" i="5"/>
  <c r="AF44" i="5" s="1"/>
  <c r="K10" i="7" s="1"/>
  <c r="Z44" i="5"/>
  <c r="AA44" i="5" s="1"/>
  <c r="X44" i="5"/>
  <c r="C10" i="7" s="1"/>
  <c r="Z54" i="5"/>
  <c r="AA54" i="5" s="1"/>
  <c r="AE54" i="5"/>
  <c r="AF54" i="5" s="1"/>
  <c r="K9" i="7" s="1"/>
  <c r="X54" i="5"/>
  <c r="C9" i="7" s="1"/>
  <c r="AE3" i="5"/>
  <c r="AF3" i="5" s="1"/>
  <c r="Z3" i="5"/>
  <c r="AA3" i="5" s="1"/>
  <c r="X3" i="5"/>
  <c r="AE5" i="5"/>
  <c r="AF5" i="5" s="1"/>
  <c r="Z5" i="5"/>
  <c r="AA5" i="5" s="1"/>
  <c r="X5" i="5"/>
  <c r="Z22" i="5"/>
  <c r="AA22" i="5" s="1"/>
  <c r="AE22" i="5"/>
  <c r="AF22" i="5" s="1"/>
  <c r="X22" i="5"/>
  <c r="AE47" i="5"/>
  <c r="AF47" i="5" s="1"/>
  <c r="Z47" i="5"/>
  <c r="AA47" i="5" s="1"/>
  <c r="X47" i="5"/>
  <c r="Z26" i="5"/>
  <c r="AA26" i="5" s="1"/>
  <c r="AE26" i="5"/>
  <c r="AF26" i="5" s="1"/>
  <c r="L13" i="7" s="1"/>
  <c r="X26" i="5"/>
  <c r="D13" i="7" s="1"/>
  <c r="AE43" i="5"/>
  <c r="AF43" i="5" s="1"/>
  <c r="Z43" i="5"/>
  <c r="AA43" i="5" s="1"/>
  <c r="X43" i="5"/>
  <c r="Z18" i="5"/>
  <c r="AA18" i="5" s="1"/>
  <c r="AE18" i="5"/>
  <c r="AF18" i="5" s="1"/>
  <c r="X18" i="5"/>
  <c r="AE9" i="5"/>
  <c r="AF9" i="5" s="1"/>
  <c r="K11" i="7" s="1"/>
  <c r="Z9" i="5"/>
  <c r="AA9" i="5" s="1"/>
  <c r="X9" i="5"/>
  <c r="C11" i="7" s="1"/>
  <c r="Z52" i="5"/>
  <c r="AA52" i="5" s="1"/>
  <c r="AE52" i="5"/>
  <c r="AF52" i="5" s="1"/>
  <c r="X52" i="5"/>
  <c r="Z39" i="5"/>
  <c r="AA39" i="5" s="1"/>
  <c r="AE39" i="5"/>
  <c r="AF39" i="5" s="1"/>
  <c r="X39" i="5"/>
  <c r="C6" i="7" s="1"/>
  <c r="Z33" i="5"/>
  <c r="AA33" i="5" s="1"/>
  <c r="AE33" i="5"/>
  <c r="AF33" i="5" s="1"/>
  <c r="X33" i="5"/>
  <c r="Z42" i="5"/>
  <c r="AA42" i="5" s="1"/>
  <c r="AE42" i="5"/>
  <c r="AF42" i="5" s="1"/>
  <c r="X42" i="5"/>
  <c r="L12" i="7"/>
  <c r="AE4" i="5"/>
  <c r="AF4" i="5" s="1"/>
  <c r="K14" i="7" s="1"/>
  <c r="Z4" i="5"/>
  <c r="AA4" i="5" s="1"/>
  <c r="X4" i="5"/>
  <c r="C14" i="7" s="1"/>
  <c r="AE45" i="5"/>
  <c r="AF45" i="5" s="1"/>
  <c r="Z45" i="5"/>
  <c r="AA45" i="5" s="1"/>
  <c r="X45" i="5"/>
  <c r="AE10" i="5"/>
  <c r="AF10" i="5" s="1"/>
  <c r="Z10" i="5"/>
  <c r="AA10" i="5" s="1"/>
  <c r="X10" i="5"/>
  <c r="AE12" i="5"/>
  <c r="AF12" i="5" s="1"/>
  <c r="M5" i="7" s="1"/>
  <c r="Z12" i="5"/>
  <c r="AA12" i="5" s="1"/>
  <c r="X12" i="5"/>
  <c r="AE55" i="5"/>
  <c r="AF55" i="5" s="1"/>
  <c r="Z55" i="5"/>
  <c r="AA55" i="5" s="1"/>
  <c r="X55" i="5"/>
  <c r="AD29" i="5"/>
  <c r="AE29" i="5"/>
  <c r="Z29" i="5"/>
  <c r="AA29" i="5" s="1"/>
  <c r="E14" i="7" l="1"/>
  <c r="M3" i="7"/>
  <c r="M7" i="7"/>
  <c r="E12" i="7"/>
  <c r="Z28" i="5"/>
  <c r="AA28" i="5" s="1"/>
  <c r="AE28" i="5"/>
  <c r="AF28" i="5" s="1"/>
  <c r="F12" i="7"/>
  <c r="M10" i="7"/>
  <c r="M8" i="7"/>
  <c r="F14" i="7"/>
  <c r="F8" i="7"/>
  <c r="F3" i="7"/>
  <c r="E3" i="7"/>
  <c r="M14" i="7"/>
  <c r="E4" i="7"/>
  <c r="E8" i="7"/>
  <c r="F6" i="7"/>
  <c r="E11" i="7"/>
  <c r="F11" i="7"/>
  <c r="E9" i="7"/>
  <c r="F9" i="7"/>
  <c r="F7" i="7"/>
  <c r="E7" i="7"/>
  <c r="E6" i="7"/>
  <c r="M11" i="7"/>
  <c r="M9" i="7"/>
  <c r="L6" i="7"/>
  <c r="O4" i="7" s="1"/>
  <c r="F4" i="7"/>
  <c r="K6" i="7"/>
  <c r="E5" i="7"/>
  <c r="F5" i="7"/>
  <c r="F10" i="7"/>
  <c r="E10" i="7"/>
  <c r="E13" i="7"/>
  <c r="F13" i="7"/>
  <c r="M4" i="7"/>
  <c r="M13" i="7"/>
  <c r="AF29" i="5"/>
  <c r="M6" i="7"/>
  <c r="P6" i="7" l="1"/>
  <c r="O8" i="7"/>
  <c r="M12" i="7"/>
  <c r="P11" i="7"/>
  <c r="P8" i="7"/>
  <c r="P4" i="7"/>
  <c r="O6" i="7"/>
  <c r="O14" i="7"/>
  <c r="O9" i="7"/>
  <c r="O11" i="7"/>
  <c r="O5" i="7"/>
  <c r="O10" i="7"/>
  <c r="O7" i="7"/>
  <c r="O3" i="7"/>
  <c r="K12" i="7"/>
  <c r="P10" i="7"/>
  <c r="P7" i="7"/>
  <c r="P5" i="7"/>
  <c r="O13" i="7"/>
  <c r="P13" i="7"/>
  <c r="O12" i="7"/>
  <c r="P14" i="7"/>
  <c r="P9" i="7"/>
  <c r="P3" i="7"/>
  <c r="P12"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tc={F97E6F2C-3130-40DF-89F9-DCE5ECC4CFEC}</author>
    <author>tc={7CD921EF-81B9-4E85-B3F4-9F97BBE42FDA}</author>
    <author>tc={3B1EB5CC-937A-4F70-9052-9D0C02F3349A}</author>
    <author>tc={1E38F14A-3136-4E92-A2CB-3B9B6F4E2B3D}</author>
    <author>tc={53F7E55F-BC00-4C47-9313-F3DED64B84B8}</author>
    <author>tc={03A8DC09-E997-4F55-BFCB-CF6742A2B9C8}</author>
    <author>tc={661AD4F0-C53D-48F0-8A38-375ABA5B9DCA}</author>
    <author>tc={17351E05-C16E-4174-851E-ABE0B7161AD8}</author>
  </authors>
  <commentList>
    <comment ref="C4" authorId="0" shapeId="0" xr:uid="{F97E6F2C-3130-40DF-89F9-DCE5ECC4CFEC}">
      <text>
        <t>[Threaded comment]
Your version of Excel allows you to read this threaded comment; however, any edits to it will get removed if the file is opened in a newer version of Excel. Learn more: https://go.microsoft.com/fwlink/?linkid=870924
Comment:
    Orig = 0</t>
      </text>
    </comment>
    <comment ref="G4" authorId="1" shapeId="0" xr:uid="{7CD921EF-81B9-4E85-B3F4-9F97BBE42FDA}">
      <text>
        <t>[Threaded comment]
Your version of Excel allows you to read this threaded comment; however, any edits to it will get removed if the file is opened in a newer version of Excel. Learn more: https://go.microsoft.com/fwlink/?linkid=870924
Comment:
    Orig = 0.015</t>
      </text>
    </comment>
    <comment ref="C6" authorId="2" shapeId="0" xr:uid="{3B1EB5CC-937A-4F70-9052-9D0C02F3349A}">
      <text>
        <t>[Threaded comment]
Your version of Excel allows you to read this threaded comment; however, any edits to it will get removed if the file is opened in a newer version of Excel. Learn more: https://go.microsoft.com/fwlink/?linkid=870924
Comment:
    Orig = 150</t>
      </text>
    </comment>
    <comment ref="C7" authorId="3" shapeId="0" xr:uid="{1E38F14A-3136-4E92-A2CB-3B9B6F4E2B3D}">
      <text>
        <t>[Threaded comment]
Your version of Excel allows you to read this threaded comment; however, any edits to it will get removed if the file is opened in a newer version of Excel. Learn more: https://go.microsoft.com/fwlink/?linkid=870924
Comment:
    Orig = 150</t>
      </text>
    </comment>
    <comment ref="C11" authorId="4" shapeId="0" xr:uid="{53F7E55F-BC00-4C47-9313-F3DED64B84B8}">
      <text>
        <t>[Threaded comment]
Your version of Excel allows you to read this threaded comment; however, any edits to it will get removed if the file is opened in a newer version of Excel. Learn more: https://go.microsoft.com/fwlink/?linkid=870924
Comment:
    Orig = 0</t>
      </text>
    </comment>
    <comment ref="F11" authorId="5" shapeId="0" xr:uid="{03A8DC09-E997-4F55-BFCB-CF6742A2B9C8}">
      <text>
        <t xml:space="preserve">[Threaded comment]
Your version of Excel allows you to read this threaded comment; however, any edits to it will get removed if the file is opened in a newer version of Excel. Learn more: https://go.microsoft.com/fwlink/?linkid=870924
Comment:
    Orig = N/A, since overlay was orig 0
</t>
      </text>
    </comment>
    <comment ref="C13" authorId="6" shapeId="0" xr:uid="{661AD4F0-C53D-48F0-8A38-375ABA5B9DCA}">
      <text>
        <t>[Threaded comment]
Your version of Excel allows you to read this threaded comment; however, any edits to it will get removed if the file is opened in a newer version of Excel. Learn more: https://go.microsoft.com/fwlink/?linkid=870924
Comment:
    Orig = 0</t>
      </text>
    </comment>
    <comment ref="F13" authorId="7" shapeId="0" xr:uid="{17351E05-C16E-4174-851E-ABE0B7161AD8}">
      <text>
        <t>[Threaded comment]
Your version of Excel allows you to read this threaded comment; however, any edits to it will get removed if the file is opened in a newer version of Excel. Learn more: https://go.microsoft.com/fwlink/?linkid=870924
Comment:
    Orig = N/A, since overlay was orig 0</t>
      </text>
    </comment>
  </commentList>
</comments>
</file>

<file path=xl/sharedStrings.xml><?xml version="1.0" encoding="utf-8"?>
<sst xmlns="http://schemas.openxmlformats.org/spreadsheetml/2006/main" count="559" uniqueCount="342">
  <si>
    <t>A_Repurpose_Both_ops</t>
  </si>
  <si>
    <t>FY2030 Net ($)</t>
  </si>
  <si>
    <t>Year</t>
  </si>
  <si>
    <t>FY2026</t>
  </si>
  <si>
    <t>FY2027</t>
  </si>
  <si>
    <t>FY2028</t>
  </si>
  <si>
    <t>FY2029</t>
  </si>
  <si>
    <t>FY2030</t>
  </si>
  <si>
    <t>Notes</t>
  </si>
  <si>
    <t>Parameter</t>
  </si>
  <si>
    <t>Value</t>
  </si>
  <si>
    <t>MO inflation</t>
  </si>
  <si>
    <t>Annual inflation factor.</t>
  </si>
  <si>
    <t>Base MO per ADM (FY25)</t>
  </si>
  <si>
    <t>Working base for FY25.</t>
  </si>
  <si>
    <t>Fixed share of MO</t>
  </si>
  <si>
    <t>Share treated as semi‑fixed (plant/insurance).</t>
  </si>
  <si>
    <t>Ops savings (keep‑open)</t>
  </si>
  <si>
    <t>Light discipline if sites remain open (not used here).</t>
  </si>
  <si>
    <t>Extra savings (Co‑location)</t>
  </si>
  <si>
    <t>Incremental savings for co‑location (not used here).</t>
  </si>
  <si>
    <t>Echo base ADM</t>
  </si>
  <si>
    <t>Pima base ADM</t>
  </si>
  <si>
    <t>Total base ADM</t>
  </si>
  <si>
    <t>Echo base ADM + Pima base ADM</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</si>
  <si>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</si>
  <si>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</si>
  <si>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</si>
  <si>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</si>
  <si>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</si>
  <si>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</si>
  <si>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</si>
  <si>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</si>
  <si>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</si>
  <si>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</si>
  <si>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</si>
  <si>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</si>
  <si>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</si>
  <si>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</si>
  <si>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</si>
  <si>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</si>
  <si>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</si>
  <si>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</si>
  <si>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</si>
  <si>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Repurpose TI per closed site (FY26)</t>
  </si>
  <si>
    <t>Retention r (central)</t>
  </si>
  <si>
    <t>All formulas are same‑sheet and reference the Parameter cells above.</t>
  </si>
  <si>
    <t>Base State Aid per ADM (FY26)</t>
  </si>
  <si>
    <t>Editable; ADE base aid.</t>
  </si>
  <si>
    <t>Aid inflation (annual)</t>
  </si>
  <si>
    <t>Editable; assumed growth in base aid.</t>
  </si>
  <si>
    <t>VarUnit$</t>
  </si>
  <si>
    <t>EchoFixed$</t>
  </si>
  <si>
    <t>PimaFixed$</t>
  </si>
  <si>
    <t>h</t>
  </si>
  <si>
    <t>f_lease</t>
  </si>
  <si>
    <t>f_ops</t>
  </si>
  <si>
    <t>YearIdx</t>
  </si>
  <si>
    <t>Aid$</t>
  </si>
  <si>
    <t>ScenarioKey</t>
  </si>
  <si>
    <t>Echo_ADM</t>
  </si>
  <si>
    <t>Pima_ADM</t>
  </si>
  <si>
    <t>Total_ADM</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</si>
  <si>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</si>
  <si>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</si>
  <si>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</si>
  <si>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</si>
  <si>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</si>
  <si>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</si>
  <si>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</si>
  <si>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</si>
  <si>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</si>
  <si>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</si>
  <si>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</si>
  <si>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</si>
  <si>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</si>
  <si>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</si>
  <si>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Key</t>
  </si>
  <si>
    <t>Aid_per_ADM</t>
  </si>
  <si>
    <t>Net_MO_after_aid$</t>
  </si>
  <si>
    <t>Net_per_served$</t>
  </si>
  <si>
    <t>Overlay_ADM</t>
  </si>
  <si>
    <t>Served_ADM</t>
  </si>
  <si>
    <t>Revenue$</t>
  </si>
  <si>
    <t>Adj_MO$</t>
  </si>
  <si>
    <t>Net$</t>
  </si>
  <si>
    <t>Label</t>
  </si>
  <si>
    <t>Overlay</t>
  </si>
  <si>
    <t>CloseEcho</t>
  </si>
  <si>
    <t>ClosePima</t>
  </si>
  <si>
    <t>EchoShareDist</t>
  </si>
  <si>
    <t>Overlay_FY26</t>
  </si>
  <si>
    <t>Overlay_FY27</t>
  </si>
  <si>
    <t>Overlay_FY28</t>
  </si>
  <si>
    <t>Overlay_FY29</t>
  </si>
  <si>
    <t>Overlay_FY30</t>
  </si>
  <si>
    <t>Carry</t>
  </si>
  <si>
    <t>D. Grow Both (Overlay 0)</t>
  </si>
  <si>
    <t>Baseline + outreach; no closures</t>
  </si>
  <si>
    <t>E. Status‑Quo + Targets (0)</t>
  </si>
  <si>
    <t>Baseline + targets; no closures</t>
  </si>
  <si>
    <t>F. Co‑Location @ Echo (0)</t>
  </si>
  <si>
    <t>Shared‑use efficiencies later (no closure)</t>
  </si>
  <si>
    <t>D. Grow Both (Overlay 100)</t>
  </si>
  <si>
    <t>Baseline +100 overlay</t>
  </si>
  <si>
    <t>D. Grow Both (Overlay 150)</t>
  </si>
  <si>
    <t>Baseline +150 overlay</t>
  </si>
  <si>
    <t>G. D‑Hub @ Echo (Ramp 50→100→150)</t>
  </si>
  <si>
    <t>Time‑phased ramp (+50,+100,+150 years 1–3)</t>
  </si>
  <si>
    <t>A_Repurpose_Both_lease</t>
  </si>
  <si>
    <t>A. Repurpose BOTH (lease)</t>
  </si>
  <si>
    <t>Repurpose both; lease/sale glide</t>
  </si>
  <si>
    <t>lease</t>
  </si>
  <si>
    <t>A. Repurpose BOTH (ops)</t>
  </si>
  <si>
    <t>Repurpose both; operations carry</t>
  </si>
  <si>
    <t>ops</t>
  </si>
  <si>
    <t>B. Repurpose ECHO (lease)</t>
  </si>
  <si>
    <t>Repurpose Echo only; lease glide</t>
  </si>
  <si>
    <t>B. Repurpose ECHO (ops)</t>
  </si>
  <si>
    <t>Repurpose Echo only; ops carry</t>
  </si>
  <si>
    <t>C. Repurpose PIMA (lease)</t>
  </si>
  <si>
    <t>Repurpose Pima only; lease glide</t>
  </si>
  <si>
    <t>C. Repurpose PIMA (ops)</t>
  </si>
  <si>
    <t>Repurpose Pima only; ops carry</t>
  </si>
  <si>
    <t>FY2028 Comparable $/Student</t>
  </si>
  <si>
    <t>FY2030 Comparable $/Student</t>
  </si>
  <si>
    <t>3‑yr Avg Comparable $/Student (FY26–FY28)</t>
  </si>
  <si>
    <t>5‑yr Avg Comparable $/Student (FY26–FY30)</t>
  </si>
  <si>
    <t>FY2030 # students served (open &amp; retained)</t>
  </si>
  <si>
    <t>FY2028 Net ($)</t>
  </si>
  <si>
    <t>5-yr Net Avg ($)</t>
  </si>
  <si>
    <t>Distinctiveness</t>
  </si>
  <si>
    <t>Reversibility</t>
  </si>
  <si>
    <t>-</t>
  </si>
  <si>
    <t>Low</t>
  </si>
  <si>
    <t>+</t>
  </si>
  <si>
    <t>High</t>
  </si>
  <si>
    <t>Med</t>
  </si>
  <si>
    <t>o</t>
  </si>
  <si>
    <t>MarginalFactor_for_Overlay</t>
  </si>
  <si>
    <t>Orig</t>
  </si>
  <si>
    <t>Orig h</t>
  </si>
  <si>
    <t>Orig f_ops</t>
  </si>
  <si>
    <t>Orig f_lease</t>
  </si>
  <si>
    <t>Approximate current Pima enrollment</t>
  </si>
  <si>
    <t>Research suggests a xx</t>
  </si>
  <si>
    <t>Repurpose trajectory assumptions</t>
  </si>
  <si>
    <t>Retention r (in case of repurpose)</t>
  </si>
  <si>
    <t>Scenario assumptions</t>
  </si>
  <si>
    <t>Foundational inputs</t>
  </si>
  <si>
    <r>
      <rPr>
        <b/>
        <sz val="8"/>
        <color theme="1"/>
        <rFont val="Calibri"/>
        <family val="2"/>
        <scheme val="minor"/>
      </rPr>
      <t xml:space="preserve">(For 'h') </t>
    </r>
    <r>
      <rPr>
        <sz val="8"/>
        <color theme="1"/>
        <rFont val="Calibri"/>
        <family val="2"/>
        <scheme val="minor"/>
      </rPr>
      <t>Research suggests an incremental transition cost (largely related to bus transportation) that can start higher than $1000. Assumption is this is managed down over time</t>
    </r>
  </si>
  <si>
    <r>
      <rPr>
        <b/>
        <sz val="8"/>
        <color theme="1"/>
        <rFont val="Calibri"/>
        <family val="2"/>
        <scheme val="minor"/>
      </rPr>
      <t xml:space="preserve">(For 'f_lease') </t>
    </r>
    <r>
      <rPr>
        <sz val="8"/>
        <color theme="1"/>
        <rFont val="Calibri"/>
        <family val="2"/>
        <scheme val="minor"/>
      </rPr>
      <t>Assuming repurpose = lease… depending on lease timing and type / arrangement (e.g. triple net?), district will carry some percentage of fixed and semi-fixed costs for a certain period of time</t>
    </r>
  </si>
  <si>
    <r>
      <rPr>
        <b/>
        <sz val="8"/>
        <color theme="1"/>
        <rFont val="Calibri"/>
        <family val="2"/>
        <scheme val="minor"/>
      </rPr>
      <t xml:space="preserve">(For 'f_ops') </t>
    </r>
    <r>
      <rPr>
        <sz val="8"/>
        <color theme="1"/>
        <rFont val="Calibri"/>
        <family val="2"/>
        <scheme val="minor"/>
      </rPr>
      <t>Assuming repurpose = some operational repurpose (not lease or sale)… depending on timing and type of repurpose, district will still carry some percentage of fixed and semi-fixed costs</t>
    </r>
  </si>
  <si>
    <t>CloseEcho (0 or 1)</t>
  </si>
  <si>
    <t>ClosePima (0 or 1)</t>
  </si>
  <si>
    <t>TargetGrowth (#)</t>
  </si>
  <si>
    <t>ExtraOpSavings (ratio)</t>
  </si>
  <si>
    <t>EchoShareGrowth (ratio)</t>
  </si>
  <si>
    <t>Status‑Quo + Op Growth Targets</t>
  </si>
  <si>
    <t>Grow Both + Op Growth Targets</t>
  </si>
  <si>
    <t>CUSTOM2</t>
  </si>
  <si>
    <t>CUSTOM1</t>
  </si>
  <si>
    <t>Co‑Location @ Echo + Op Growth Targets</t>
  </si>
  <si>
    <t>(Ref) Control center labels</t>
  </si>
  <si>
    <t>Growth Hub @ Echo + Status-Quo Pima + Op Growth Targets</t>
  </si>
  <si>
    <t>Repurpose BOTH (lease)</t>
  </si>
  <si>
    <t>Repurpose BOTH (ops)</t>
  </si>
  <si>
    <t>Repurpose ECHO (lease) + Status-Quo Pima + Pima Op Growth Targets</t>
  </si>
  <si>
    <t>Repurpose ECHO (ops) + Status-Quo Pima + Pima Op Growth Targets</t>
  </si>
  <si>
    <t>Repurpose PIMA (lease) + Growth Hub @ Echo + Echo Op Growth Targets</t>
  </si>
  <si>
    <t>Repurpose PIMA (ops) + Growth Hub @ Echo + Echo Op Growth Targets</t>
  </si>
  <si>
    <t>Share of MO treated as semi‑fixed (plant/insurance).</t>
  </si>
  <si>
    <r>
      <t xml:space="preserve">"MO" = xx.  Working base for FY25.  Calculated from reported budget data and enrollment estimates - </t>
    </r>
    <r>
      <rPr>
        <b/>
        <sz val="8"/>
        <color theme="1"/>
        <rFont val="Calibri"/>
        <family val="2"/>
        <scheme val="minor"/>
      </rPr>
      <t>as relates to Echo Canyon and Pima only</t>
    </r>
    <r>
      <rPr>
        <sz val="8"/>
        <color theme="1"/>
        <rFont val="Calibri"/>
        <family val="2"/>
        <scheme val="minor"/>
      </rPr>
      <t>.</t>
    </r>
  </si>
  <si>
    <t>"ADM" = average daily membership; roughly equivalent to enrollment.  Approximate current Echo enrollment</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</si>
  <si>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</si>
  <si>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</si>
  <si>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D_CUSTOM1</t>
  </si>
  <si>
    <t>E_StatusQuo_Targets</t>
  </si>
  <si>
    <t>F_CoLocation_Echo_Targets</t>
  </si>
  <si>
    <t>D_Grow_Both_Targets</t>
  </si>
  <si>
    <t>D_CUSTOM2</t>
  </si>
  <si>
    <t>B_Repurpose_Echo_lease_PimaTargets</t>
  </si>
  <si>
    <t>B_Repurpose_Echo_ops_PimaTargets</t>
  </si>
  <si>
    <t>C_Repurpose_Pima_lease_EchoGHub_EchoTargets</t>
  </si>
  <si>
    <t>G_EchoGHubRamp_PimaTargets</t>
  </si>
  <si>
    <t>C_Repurpose_Pima_ops_EchoGHub_EchoTargets</t>
  </si>
  <si>
    <t>Echo and Pima remain open; uplift warm handoff effort (intra-SUSD) and implement cross-district marketing initiative (e.g. capture ~10% of Kyrene's displaced families?)</t>
  </si>
  <si>
    <t>(Reference)</t>
  </si>
  <si>
    <t>Qualitative assessment</t>
  </si>
  <si>
    <t>Scenario title</t>
  </si>
  <si>
    <t>++</t>
  </si>
  <si>
    <t>--</t>
  </si>
  <si>
    <t>Low-Med</t>
  </si>
  <si>
    <t>Operational</t>
  </si>
  <si>
    <t>Net figures ('revenue' - 'cost')</t>
  </si>
  <si>
    <t>Δ FY2030 Net ($) vs Repurpose BOTH (ops)</t>
  </si>
  <si>
    <t>Δ 5-yr Avg Net ($) vs Repurpose BOTH (ops)</t>
  </si>
  <si>
    <t>Scenario net figures vs. Repurpose both (ops)</t>
  </si>
  <si>
    <t># Students displaced</t>
  </si>
  <si>
    <t>Qualitative</t>
  </si>
  <si>
    <t>Example qualitative metrics to consider. Possibly interesting as part of overall story.</t>
  </si>
  <si>
    <t>Control center - yellow shaded fields are editable inputs</t>
  </si>
  <si>
    <t>CUSTOM_KeepOpen_v1</t>
  </si>
  <si>
    <t>CUSTOM_KeepOpen_v2</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</si>
  <si>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</si>
  <si>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</si>
  <si>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</si>
  <si>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</si>
  <si>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</si>
  <si>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</si>
  <si>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</si>
  <si>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</si>
  <si>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</si>
  <si>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</si>
  <si>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</si>
  <si>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</si>
  <si>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</si>
  <si>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</si>
  <si>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</si>
  <si>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</si>
  <si>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</si>
  <si>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</si>
  <si>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</si>
  <si>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</si>
  <si>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</si>
  <si>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</si>
  <si>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</si>
  <si>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</si>
  <si>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</si>
  <si>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</si>
  <si>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</si>
  <si>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</si>
  <si>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</si>
  <si>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</si>
  <si>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</si>
  <si>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</si>
  <si>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</si>
  <si>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</si>
  <si>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</si>
  <si>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</si>
  <si>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</si>
  <si>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</si>
  <si>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</si>
  <si>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</si>
  <si>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</si>
  <si>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</si>
  <si>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</si>
  <si>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</si>
  <si>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</si>
  <si>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</si>
  <si>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</si>
  <si>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</si>
  <si>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Used to net out revenue: Net_MO_after_aid$ / Served_ADM</t>
  </si>
  <si>
    <r>
      <t>Notes on Pima &amp; Echo fixed $ placeholders:</t>
    </r>
    <r>
      <rPr>
        <sz val="10"/>
        <color theme="1"/>
        <rFont val="Calibri"/>
        <family val="2"/>
        <scheme val="minor"/>
      </rPr>
      <t xml:space="preserve"> The file allocates the fixed share across the two schools </t>
    </r>
    <r>
      <rPr>
        <b/>
        <sz val="10"/>
        <color theme="1"/>
        <rFont val="Calibri"/>
        <family val="2"/>
        <scheme val="minor"/>
      </rPr>
      <t>pro‑rata</t>
    </r>
    <r>
      <rPr>
        <sz val="10"/>
        <color theme="1"/>
        <rFont val="Calibri"/>
        <family val="2"/>
        <scheme val="minor"/>
      </rPr>
      <t xml:space="preserve"> (by base ADM) as a temporary step. Replace with the </t>
    </r>
    <r>
      <rPr>
        <b/>
        <sz val="10"/>
        <color theme="1"/>
        <rFont val="Calibri"/>
        <family val="2"/>
        <scheme val="minor"/>
      </rPr>
      <t>actual plant ops/insurance/utilities/admin</t>
    </r>
    <r>
      <rPr>
        <sz val="10"/>
        <color theme="1"/>
        <rFont val="Calibri"/>
        <family val="2"/>
        <scheme val="minor"/>
      </rPr>
      <t xml:space="preserve"> for each site from Fund 001 to remove that simplification.</t>
    </r>
  </si>
  <si>
    <r>
      <t xml:space="preserve">Share of VarUnit$ applied to </t>
    </r>
    <r>
      <rPr>
        <i/>
        <sz val="10"/>
        <color theme="1"/>
        <rFont val="Aptos"/>
        <family val="2"/>
      </rPr>
      <t>overlay</t>
    </r>
    <r>
      <rPr>
        <sz val="10"/>
        <color theme="1"/>
        <rFont val="Aptos"/>
        <family val="2"/>
      </rPr>
      <t xml:space="preserve"> seats</t>
    </r>
  </si>
  <si>
    <r>
      <t xml:space="preserve">Other_Parameters (v6 = </t>
    </r>
    <r>
      <rPr>
        <b/>
        <sz val="10"/>
        <color theme="1"/>
        <rFont val="Aptos"/>
        <family val="2"/>
      </rPr>
      <t>0.30</t>
    </r>
    <r>
      <rPr>
        <sz val="10"/>
        <color theme="1"/>
        <rFont val="Aptos"/>
        <family val="2"/>
      </rPr>
      <t>)</t>
    </r>
  </si>
  <si>
    <t xml:space="preserve"> </t>
  </si>
  <si>
    <t>Parameter / input</t>
  </si>
  <si>
    <t>Public source &amp; how derived</t>
  </si>
  <si>
    <t>What to request to confirm / refine</t>
  </si>
  <si>
    <t>Base state aid per pupil (FY2025)</t>
  </si>
  <si>
    <t>Revenue per ADM in “Aid per ADM” line; grown by CPI in out‑years (model uses a placeholder near $5.1k)</t>
  </si>
  <si>
    <t>ADE School Finance memo for FY2025 base level (final), plus any FY2026 update; SUSD’s per‑pupil revenue schedule (by weight) if you want to add K‑8 weights locally.</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</si>
  <si>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</si>
  <si>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</si>
  <si>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</si>
  <si>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Echo Canyon base ADM (≈257)</t>
  </si>
  <si>
    <t>Baseline students “served” in keep‑open scenarios</t>
  </si>
  <si>
    <t>Pima base ADM (≈296)</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</si>
  <si>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</si>
  <si>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</si>
  <si>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</si>
  <si>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</si>
  <si>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Variable unit cost (VarUnit$)</t>
  </si>
  <si>
    <t>SUSD staffing ratios &amp; actual sectioning at K–8; confirm what portion of M&amp;O truly scales with added sections (teachers, aides, supplies, a slice of transport).</t>
  </si>
  <si>
    <t>Marginal‑cost factor for overlay seats (0.50)</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</si>
  <si>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</si>
  <si>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</si>
  <si>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Retention rate “r” (central 0.75; sensitivities 0.65–0.85)</t>
  </si>
  <si>
    <t>Carry fractions f_ops / f_lease (e.g., 0.40 → 0 by FY30)</t>
  </si>
  <si>
    <t>TI / one‑time repurpose costs (e.g., $2.4M)</t>
  </si>
  <si>
    <t>SUSD engineering estimate for tenant improvements or district reconfiguration (scope, cost, which fund, and amortization).</t>
  </si>
  <si>
    <t>Scenario overlays (+0 / +100 / +150 / +200)</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</si>
  <si>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</si>
  <si>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</si>
  <si>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</si>
  <si>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</si>
  <si>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</si>
  <si>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r>
      <t xml:space="preserve">SUSD’s </t>
    </r>
    <r>
      <rPr>
        <b/>
        <sz val="10"/>
        <color theme="1"/>
        <rFont val="Calibri"/>
        <family val="2"/>
        <scheme val="minor"/>
      </rPr>
      <t>40th‑day</t>
    </r>
    <r>
      <rPr>
        <sz val="10"/>
        <color theme="1"/>
        <rFont val="Calibri"/>
        <family val="2"/>
        <scheme val="minor"/>
      </rPr>
      <t xml:space="preserve"> and </t>
    </r>
    <r>
      <rPr>
        <b/>
        <sz val="10"/>
        <color theme="1"/>
        <rFont val="Calibri"/>
        <family val="2"/>
        <scheme val="minor"/>
      </rPr>
      <t>100th‑day</t>
    </r>
    <r>
      <rPr>
        <sz val="10"/>
        <color theme="1"/>
        <rFont val="Calibri"/>
        <family val="2"/>
        <scheme val="minor"/>
      </rPr>
      <t xml:space="preserve"> ADM certification for Echo and Pima (K–8 breakouts).</t>
    </r>
  </si>
  <si>
    <r>
      <t xml:space="preserve">SUSD </t>
    </r>
    <r>
      <rPr>
        <b/>
        <sz val="10"/>
        <color theme="1"/>
        <rFont val="Calibri"/>
        <family val="2"/>
        <scheme val="minor"/>
      </rPr>
      <t>October (40th‑day) ADM sheet</t>
    </r>
    <r>
      <rPr>
        <sz val="10"/>
        <color theme="1"/>
        <rFont val="Calibri"/>
        <family val="2"/>
        <scheme val="minor"/>
      </rPr>
      <t xml:space="preserve"> listing Echo Canyon K‑8 ADM (most recent year) and the same for the prior 3 years.</t>
    </r>
  </si>
  <si>
    <r>
      <t xml:space="preserve">From ACFR or adopted budget: </t>
    </r>
    <r>
      <rPr>
        <b/>
        <sz val="10"/>
        <color theme="1"/>
        <rFont val="Calibri"/>
        <family val="2"/>
        <scheme val="minor"/>
      </rPr>
      <t>Fund 001 totals and function detail</t>
    </r>
    <r>
      <rPr>
        <sz val="10"/>
        <color theme="1"/>
        <rFont val="Calibri"/>
        <family val="2"/>
        <scheme val="minor"/>
      </rPr>
      <t xml:space="preserve"> by object/function; </t>
    </r>
    <r>
      <rPr>
        <b/>
        <sz val="10"/>
        <color theme="1"/>
        <rFont val="Calibri"/>
        <family val="2"/>
        <scheme val="minor"/>
      </rPr>
      <t>district ADM</t>
    </r>
    <r>
      <rPr>
        <sz val="10"/>
        <color theme="1"/>
        <rFont val="Calibri"/>
        <family val="2"/>
        <scheme val="minor"/>
      </rPr>
      <t xml:space="preserve"> used in budget; </t>
    </r>
    <r>
      <rPr>
        <b/>
        <sz val="10"/>
        <color theme="1"/>
        <rFont val="Calibri"/>
        <family val="2"/>
        <scheme val="minor"/>
      </rPr>
      <t>site‑level</t>
    </r>
    <r>
      <rPr>
        <sz val="10"/>
        <color theme="1"/>
        <rFont val="Calibri"/>
        <family val="2"/>
        <scheme val="minor"/>
      </rPr>
      <t xml:space="preserve"> M&amp;O if available.</t>
    </r>
  </si>
  <si>
    <r>
      <t xml:space="preserve">SUSD </t>
    </r>
    <r>
      <rPr>
        <b/>
        <sz val="10"/>
        <color theme="1"/>
        <rFont val="Calibri"/>
        <family val="2"/>
        <scheme val="minor"/>
      </rPr>
      <t>site‑level</t>
    </r>
    <r>
      <rPr>
        <sz val="10"/>
        <color theme="1"/>
        <rFont val="Calibri"/>
        <family val="2"/>
        <scheme val="minor"/>
      </rPr>
      <t>: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r>
  </si>
  <si>
    <r>
      <t xml:space="preserve">$ per student applied to “served ADM,” plus marginal‑cost factor on </t>
    </r>
    <r>
      <rPr>
        <b/>
        <sz val="10"/>
        <color theme="1"/>
        <rFont val="Calibri"/>
        <family val="2"/>
        <scheme val="minor"/>
      </rPr>
      <t>overlay seats</t>
    </r>
  </si>
  <si>
    <r>
      <t>Assumption derived</t>
    </r>
    <r>
      <rPr>
        <sz val="10"/>
        <color theme="1"/>
        <rFont val="Calibri"/>
        <family val="2"/>
        <scheme val="minor"/>
      </rPr>
      <t xml:space="preserve"> from Fund 001 minus fixed share, divided by total ADM; then </t>
    </r>
    <r>
      <rPr>
        <b/>
        <sz val="10"/>
        <color theme="1"/>
        <rFont val="Calibri"/>
        <family val="2"/>
        <scheme val="minor"/>
      </rPr>
      <t>Marginal factor</t>
    </r>
    <r>
      <rPr>
        <sz val="10"/>
        <color theme="1"/>
        <rFont val="Calibri"/>
        <family val="2"/>
        <scheme val="minor"/>
      </rPr>
      <t xml:space="preserve"> (see below) reduces cost for overlay seats.</t>
    </r>
  </si>
  <si>
    <r>
      <t xml:space="preserve">Applies only to </t>
    </r>
    <r>
      <rPr>
        <b/>
        <sz val="10"/>
        <color theme="1"/>
        <rFont val="Calibri"/>
        <family val="2"/>
        <scheme val="minor"/>
      </rPr>
      <t>overlay growth</t>
    </r>
    <r>
      <rPr>
        <sz val="10"/>
        <color theme="1"/>
        <rFont val="Calibri"/>
        <family val="2"/>
        <scheme val="minor"/>
      </rPr>
      <t xml:space="preserve"> students in keep‑open scenarios; models that </t>
    </r>
    <r>
      <rPr>
        <b/>
        <sz val="10"/>
        <color theme="1"/>
        <rFont val="Calibri"/>
        <family val="2"/>
        <scheme val="minor"/>
      </rPr>
      <t>not every dollar is average cost</t>
    </r>
  </si>
  <si>
    <r>
      <t xml:space="preserve">SUSD’s </t>
    </r>
    <r>
      <rPr>
        <b/>
        <sz val="10"/>
        <color theme="1"/>
        <rFont val="Calibri"/>
        <family val="2"/>
        <scheme val="minor"/>
      </rPr>
      <t>teacher‑section &amp; aide staffing rules</t>
    </r>
    <r>
      <rPr>
        <sz val="10"/>
        <color theme="1"/>
        <rFont val="Calibri"/>
        <family val="2"/>
        <scheme val="minor"/>
      </rPr>
      <t xml:space="preserve">, average class sizes, and any </t>
    </r>
    <r>
      <rPr>
        <b/>
        <sz val="10"/>
        <color theme="1"/>
        <rFont val="Calibri"/>
        <family val="2"/>
        <scheme val="minor"/>
      </rPr>
      <t>marginal staffing adders</t>
    </r>
    <r>
      <rPr>
        <sz val="10"/>
        <color theme="1"/>
        <rFont val="Calibri"/>
        <family val="2"/>
        <scheme val="minor"/>
      </rPr>
      <t xml:space="preserve"> at K–8 (arts, specialists).</t>
    </r>
  </si>
  <si>
    <r>
      <t xml:space="preserve">Per retained student </t>
    </r>
    <r>
      <rPr>
        <b/>
        <sz val="10"/>
        <color theme="1"/>
        <rFont val="Calibri"/>
        <family val="2"/>
        <scheme val="minor"/>
      </rPr>
      <t>transition/route/admin</t>
    </r>
    <r>
      <rPr>
        <sz val="10"/>
        <color theme="1"/>
        <rFont val="Calibri"/>
        <family val="2"/>
        <scheme val="minor"/>
      </rPr>
      <t xml:space="preserve"> cost added when a site is repurposed; tapers as routes stabilize</t>
    </r>
  </si>
  <si>
    <r>
      <t>Assumption with AZ context</t>
    </r>
    <r>
      <rPr>
        <sz val="10"/>
        <color theme="1"/>
        <rFont val="Calibri"/>
        <family val="2"/>
        <scheme val="minor"/>
      </rPr>
      <t xml:space="preserve">: AZ districts’ </t>
    </r>
    <r>
      <rPr>
        <b/>
        <sz val="10"/>
        <color theme="1"/>
        <rFont val="Calibri"/>
        <family val="2"/>
        <scheme val="minor"/>
      </rPr>
      <t>transport spend per rider is often $2k–$3k</t>
    </r>
    <r>
      <rPr>
        <sz val="10"/>
        <color theme="1"/>
        <rFont val="Calibri"/>
        <family val="2"/>
        <scheme val="minor"/>
      </rPr>
      <t xml:space="preserve"> (statewide average $2,862 cited in a district budget narrative), so </t>
    </r>
    <r>
      <rPr>
        <b/>
        <sz val="10"/>
        <color theme="1"/>
        <rFont val="Calibri"/>
        <family val="2"/>
        <scheme val="minor"/>
      </rPr>
      <t>$1,000 tapering to $300</t>
    </r>
    <r>
      <rPr>
        <sz val="10"/>
        <color theme="1"/>
        <rFont val="Calibri"/>
        <family val="2"/>
        <scheme val="minor"/>
      </rPr>
      <t xml:space="preserve"> is a conservative placeholder for </t>
    </r>
    <r>
      <rPr>
        <b/>
        <sz val="10"/>
        <color theme="1"/>
        <rFont val="Calibri"/>
        <family val="2"/>
        <scheme val="minor"/>
      </rPr>
      <t>incremental</t>
    </r>
    <r>
      <rPr>
        <sz val="10"/>
        <color theme="1"/>
        <rFont val="Calibri"/>
        <family val="2"/>
        <scheme val="minor"/>
      </rPr>
      <t xml:space="preserve"> cost, not full bus cost.</t>
    </r>
  </si>
  <si>
    <r>
      <t xml:space="preserve">SUSD </t>
    </r>
    <r>
      <rPr>
        <b/>
        <sz val="10"/>
        <color theme="1"/>
        <rFont val="Calibri"/>
        <family val="2"/>
        <scheme val="minor"/>
      </rPr>
      <t>transportation cost per route-hour</t>
    </r>
    <r>
      <rPr>
        <sz val="10"/>
        <color theme="1"/>
        <rFont val="Calibri"/>
        <family val="2"/>
        <scheme val="minor"/>
      </rPr>
      <t>, average riders per route, and the specific route changes proposed in the repurpose option.</t>
    </r>
  </si>
  <si>
    <r>
      <t xml:space="preserve">Share of displaced Echo+Pima students who </t>
    </r>
    <r>
      <rPr>
        <b/>
        <sz val="10"/>
        <color theme="1"/>
        <rFont val="Calibri"/>
        <family val="2"/>
        <scheme val="minor"/>
      </rPr>
      <t>remain in SUSD</t>
    </r>
    <r>
      <rPr>
        <sz val="10"/>
        <color theme="1"/>
        <rFont val="Calibri"/>
        <family val="2"/>
        <scheme val="minor"/>
      </rPr>
      <t xml:space="preserve"> (the rest leave to charters/other districts)</t>
    </r>
  </si>
  <si>
    <r>
      <t xml:space="preserve">SUSD </t>
    </r>
    <r>
      <rPr>
        <b/>
        <sz val="10"/>
        <color theme="1"/>
        <rFont val="Calibri"/>
        <family val="2"/>
        <scheme val="minor"/>
      </rPr>
      <t>post‑closure enrollment tracking</t>
    </r>
    <r>
      <rPr>
        <sz val="10"/>
        <color theme="1"/>
        <rFont val="Calibri"/>
        <family val="2"/>
        <scheme val="minor"/>
      </rPr>
      <t xml:space="preserve"> (where displaced students re‑enroll), by receiving school; use that to set “r” from observed data.</t>
    </r>
  </si>
  <si>
    <r>
      <t xml:space="preserve">Share of each site’s </t>
    </r>
    <r>
      <rPr>
        <b/>
        <sz val="10"/>
        <color theme="1"/>
        <rFont val="Calibri"/>
        <family val="2"/>
        <scheme val="minor"/>
      </rPr>
      <t>fixed</t>
    </r>
    <r>
      <rPr>
        <sz val="10"/>
        <color theme="1"/>
        <rFont val="Calibri"/>
        <family val="2"/>
        <scheme val="minor"/>
      </rPr>
      <t xml:space="preserve"> costs that persist after repurpose under </t>
    </r>
    <r>
      <rPr>
        <b/>
        <sz val="10"/>
        <color theme="1"/>
        <rFont val="Calibri"/>
        <family val="2"/>
        <scheme val="minor"/>
      </rPr>
      <t>ops mothball</t>
    </r>
    <r>
      <rPr>
        <sz val="10"/>
        <color theme="1"/>
        <rFont val="Calibri"/>
        <family val="2"/>
        <scheme val="minor"/>
      </rPr>
      <t xml:space="preserve"> vs </t>
    </r>
    <r>
      <rPr>
        <b/>
        <sz val="10"/>
        <color theme="1"/>
        <rFont val="Calibri"/>
        <family val="2"/>
        <scheme val="minor"/>
      </rPr>
      <t>lease/sale</t>
    </r>
  </si>
  <si>
    <r>
      <t>Assumption</t>
    </r>
    <r>
      <rPr>
        <sz val="10"/>
        <color theme="1"/>
        <rFont val="Calibri"/>
        <family val="2"/>
        <scheme val="minor"/>
      </rPr>
      <t xml:space="preserve"> pending facilities plan. The glide‑path (e.g., 40%→30%→20%→10%→0%) reflects how fast plant/insurance/utilities can be retired or passed to a tenant.</t>
    </r>
  </si>
  <si>
    <r>
      <t xml:space="preserve">SUSD </t>
    </r>
    <r>
      <rPr>
        <b/>
        <sz val="10"/>
        <color theme="1"/>
        <rFont val="Calibri"/>
        <family val="2"/>
        <scheme val="minor"/>
      </rPr>
      <t>facilities memo</t>
    </r>
    <r>
      <rPr>
        <sz val="10"/>
        <color theme="1"/>
        <rFont val="Calibri"/>
        <family val="2"/>
        <scheme val="minor"/>
      </rPr>
      <t>: timeline to partial/full mothball, target lease/sale timing, and which cost lines truly zero out under each scenario.</t>
    </r>
  </si>
  <si>
    <r>
      <t>Assumption</t>
    </r>
    <r>
      <rPr>
        <sz val="10"/>
        <color theme="1"/>
        <rFont val="Calibri"/>
        <family val="2"/>
        <scheme val="minor"/>
      </rPr>
      <t xml:space="preserve"> (placeholder).</t>
    </r>
  </si>
  <si>
    <r>
      <t xml:space="preserve">Size of </t>
    </r>
    <r>
      <rPr>
        <b/>
        <sz val="10"/>
        <color theme="1"/>
        <rFont val="Calibri"/>
        <family val="2"/>
        <scheme val="minor"/>
      </rPr>
      <t>growth push</t>
    </r>
    <r>
      <rPr>
        <sz val="10"/>
        <color theme="1"/>
        <rFont val="Calibri"/>
        <family val="2"/>
        <scheme val="minor"/>
      </rPr>
      <t xml:space="preserve"> in keep‑open options (D, F, G)</t>
    </r>
  </si>
  <si>
    <r>
      <t>Assumption</t>
    </r>
    <r>
      <rPr>
        <sz val="10"/>
        <color theme="1"/>
        <rFont val="Calibri"/>
        <family val="2"/>
        <scheme val="minor"/>
      </rPr>
      <t xml:space="preserve"> based on capacity headroom + practical recruitment targets.</t>
    </r>
  </si>
  <si>
    <r>
      <t xml:space="preserve">SUSD </t>
    </r>
    <r>
      <rPr>
        <b/>
        <sz val="10"/>
        <color theme="1"/>
        <rFont val="Calibri"/>
        <family val="2"/>
        <scheme val="minor"/>
      </rPr>
      <t>SFB capacity</t>
    </r>
    <r>
      <rPr>
        <sz val="10"/>
        <color theme="1"/>
        <rFont val="Calibri"/>
        <family val="2"/>
        <scheme val="minor"/>
      </rPr>
      <t xml:space="preserve"> for Echo/Pima and neighboring receiving schools; actual classroom/wing availability by grade band.</t>
    </r>
  </si>
  <si>
    <r>
      <t xml:space="preserve">Not yet populated; </t>
    </r>
    <r>
      <rPr>
        <b/>
        <sz val="10"/>
        <color theme="1"/>
        <rFont val="Calibri"/>
        <family val="2"/>
        <scheme val="minor"/>
      </rPr>
      <t>to be anchored</t>
    </r>
    <r>
      <rPr>
        <sz val="10"/>
        <color theme="1"/>
        <rFont val="Calibri"/>
        <family val="2"/>
        <scheme val="minor"/>
      </rPr>
      <t xml:space="preserve"> to </t>
    </r>
    <r>
      <rPr>
        <b/>
        <sz val="10"/>
        <color theme="1"/>
        <rFont val="Calibri"/>
        <family val="2"/>
        <scheme val="minor"/>
      </rPr>
      <t>SFB (AZ School Facilities Board)</t>
    </r>
    <r>
      <rPr>
        <sz val="10"/>
        <color theme="1"/>
        <rFont val="Calibri"/>
        <family val="2"/>
        <scheme val="minor"/>
      </rPr>
      <t xml:space="preserve"> capacity files and SUSD construction docs.</t>
    </r>
  </si>
  <si>
    <r>
      <t xml:space="preserve">SUSD/SFB: </t>
    </r>
    <r>
      <rPr>
        <b/>
        <sz val="10"/>
        <color theme="1"/>
        <rFont val="Calibri"/>
        <family val="2"/>
        <scheme val="minor"/>
      </rPr>
      <t>design capacity</t>
    </r>
    <r>
      <rPr>
        <sz val="10"/>
        <color theme="1"/>
        <rFont val="Calibri"/>
        <family val="2"/>
        <scheme val="minor"/>
      </rPr>
      <t xml:space="preserve"> and </t>
    </r>
    <r>
      <rPr>
        <b/>
        <sz val="10"/>
        <color theme="1"/>
        <rFont val="Calibri"/>
        <family val="2"/>
        <scheme val="minor"/>
      </rPr>
      <t>current utilization</t>
    </r>
    <r>
      <rPr>
        <sz val="10"/>
        <color theme="1"/>
        <rFont val="Calibri"/>
        <family val="2"/>
        <scheme val="minor"/>
      </rPr>
      <t xml:space="preserve"> for Echo &amp; Pima (post‑rebuild specs for Pima).</t>
    </r>
  </si>
  <si>
    <r>
      <t xml:space="preserve">If SUSD intends district‑operated tuition Pre‑K on site, request </t>
    </r>
    <r>
      <rPr>
        <b/>
        <sz val="10"/>
        <color theme="1"/>
        <rFont val="Calibri"/>
        <family val="2"/>
        <scheme val="minor"/>
      </rPr>
      <t>pro forma</t>
    </r>
    <r>
      <rPr>
        <sz val="10"/>
        <color theme="1"/>
        <rFont val="Calibri"/>
        <family val="2"/>
        <scheme val="minor"/>
      </rPr>
      <t xml:space="preserve"> for net contribution (tuition – staffing – TI).</t>
    </r>
  </si>
  <si>
    <t>Description / how we used it</t>
  </si>
  <si>
    <t>ADM</t>
  </si>
  <si>
    <t>M&amp;O</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</si>
  <si>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</si>
  <si>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</si>
  <si>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</si>
  <si>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</si>
  <si>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r>
      <rPr>
        <b/>
        <sz val="10"/>
        <color theme="1"/>
        <rFont val="Calibri"/>
        <family val="2"/>
        <scheme val="minor"/>
      </rPr>
      <t>ADE School Report Cards / Arizona Education Profiles</t>
    </r>
    <r>
      <rPr>
        <sz val="10"/>
        <color theme="1"/>
        <rFont val="Calibri"/>
        <family val="2"/>
        <scheme val="minor"/>
      </rPr>
      <t xml:space="preserve"> (school pages) + SUSD 40th‑day board reports for Echo Canyon’s latest K‑8 enrollment ADE school page data used.</t>
    </r>
  </si>
  <si>
    <r>
      <t>ADE School Report Cards page for Pima Traditional</t>
    </r>
    <r>
      <rPr>
        <sz val="10"/>
        <color theme="1"/>
        <rFont val="Calibri"/>
        <family val="2"/>
        <scheme val="minor"/>
      </rPr>
      <t xml:space="preserve"> (enrollment tile). The “Enrollment” 🛈 on that page for the specific year has enrollment data.</t>
    </r>
  </si>
  <si>
    <r>
      <t xml:space="preserve">Using this term in the spreadsheet to mean </t>
    </r>
    <r>
      <rPr>
        <b/>
        <sz val="10"/>
        <color theme="1"/>
        <rFont val="Calibri"/>
        <family val="2"/>
        <scheme val="minor"/>
      </rPr>
      <t>growth of new students</t>
    </r>
  </si>
  <si>
    <t>Not an official district term; just using in this spreadsheet</t>
  </si>
  <si>
    <t>Extra cost savings for co-location scenario</t>
  </si>
  <si>
    <t>Ops savings (for keep-open scenarios)</t>
  </si>
  <si>
    <t>M&amp;O Inflation</t>
  </si>
  <si>
    <t>AID inflation</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</si>
  <si>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</si>
  <si>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</si>
  <si>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</si>
  <si>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Splits total M&amp;O into “semi‑fixed” (plant ops, insurance, admin, central) vs “variable” (classroom sections, supplies, a slice of transport) to compute EchoFixed$ and PimaFixed$</t>
  </si>
  <si>
    <t>Model input / claim</t>
  </si>
  <si>
    <t>How we’re using it in the model</t>
  </si>
  <si>
    <t>Public source to cite (what to grab)</t>
  </si>
  <si>
    <t>How to apply in the file</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</si>
  <si>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</si>
  <si>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Transportation / receiving overhead order‑of‑magnitude</t>
  </si>
  <si>
    <r>
      <t xml:space="preserve">Our </t>
    </r>
    <r>
      <rPr>
        <b/>
        <sz val="11"/>
        <color theme="1"/>
        <rFont val="Calibri"/>
        <family val="2"/>
        <scheme val="minor"/>
      </rPr>
      <t>h</t>
    </r>
    <r>
      <rPr>
        <sz val="11"/>
        <color theme="1"/>
        <rFont val="Calibri"/>
        <family val="2"/>
        <scheme val="minor"/>
      </rPr>
      <t xml:space="preserve"> parameter adds </t>
    </r>
    <r>
      <rPr>
        <b/>
        <sz val="11"/>
        <color theme="1"/>
        <rFont val="Calibri"/>
        <family val="2"/>
        <scheme val="minor"/>
      </rPr>
      <t>incremental</t>
    </r>
    <r>
      <rPr>
        <sz val="11"/>
        <color theme="1"/>
        <rFont val="Calibri"/>
        <family val="2"/>
        <scheme val="minor"/>
      </rPr>
      <t xml:space="preserve"> per‑retained‑student cost (routing/transition/admin) only when a </t>
    </r>
    <r>
      <rPr>
        <b/>
        <sz val="11"/>
        <color theme="1"/>
        <rFont val="Calibri"/>
        <family val="2"/>
        <scheme val="minor"/>
      </rPr>
      <t>repurpose</t>
    </r>
    <r>
      <rPr>
        <sz val="11"/>
        <color theme="1"/>
        <rFont val="Calibri"/>
        <family val="2"/>
        <scheme val="minor"/>
      </rPr>
      <t xml:space="preserve"> occurs, tapering as routes stabilize</t>
    </r>
  </si>
  <si>
    <r>
      <t xml:space="preserve">AAG district audits show </t>
    </r>
    <r>
      <rPr>
        <b/>
        <sz val="11"/>
        <color theme="1"/>
        <rFont val="Calibri"/>
        <family val="2"/>
        <scheme val="minor"/>
      </rPr>
      <t>cost per rider</t>
    </r>
    <r>
      <rPr>
        <sz val="11"/>
        <color theme="1"/>
        <rFont val="Calibri"/>
        <family val="2"/>
        <scheme val="minor"/>
      </rPr>
      <t xml:space="preserve"> varies (several audited districts fall near </t>
    </r>
    <r>
      <rPr>
        <b/>
        <sz val="11"/>
        <color theme="1"/>
        <rFont val="Calibri"/>
        <family val="2"/>
        <scheme val="minor"/>
      </rPr>
      <t>$900–$1,100 per rider</t>
    </r>
    <r>
      <rPr>
        <sz val="11"/>
        <color theme="1"/>
        <rFont val="Calibri"/>
        <family val="2"/>
        <scheme val="minor"/>
      </rPr>
      <t xml:space="preserve">; others higher depending on geography), demonstrating the right order of magnitude for incremental routing burden. Examples: </t>
    </r>
    <r>
      <rPr>
        <b/>
        <sz val="11"/>
        <color theme="1"/>
        <rFont val="Calibri"/>
        <family val="2"/>
        <scheme val="minor"/>
      </rPr>
      <t>Safford USD</t>
    </r>
    <r>
      <rPr>
        <sz val="11"/>
        <color theme="1"/>
        <rFont val="Calibri"/>
        <family val="2"/>
        <scheme val="minor"/>
      </rPr>
      <t xml:space="preserve"> 2022 </t>
    </r>
    <r>
      <rPr>
        <b/>
        <sz val="11"/>
        <color theme="1"/>
        <rFont val="Calibri"/>
        <family val="2"/>
        <scheme val="minor"/>
      </rPr>
      <t>$893</t>
    </r>
    <r>
      <rPr>
        <sz val="11"/>
        <color theme="1"/>
        <rFont val="Calibri"/>
        <family val="2"/>
        <scheme val="minor"/>
      </rPr>
      <t xml:space="preserve"> per rider; </t>
    </r>
    <r>
      <rPr>
        <b/>
        <sz val="11"/>
        <color theme="1"/>
        <rFont val="Calibri"/>
        <family val="2"/>
        <scheme val="minor"/>
      </rPr>
      <t>Snowflake USD</t>
    </r>
    <r>
      <rPr>
        <sz val="11"/>
        <color theme="1"/>
        <rFont val="Calibri"/>
        <family val="2"/>
        <scheme val="minor"/>
      </rPr>
      <t xml:space="preserve"> 2023 </t>
    </r>
    <r>
      <rPr>
        <b/>
        <sz val="11"/>
        <color theme="1"/>
        <rFont val="Calibri"/>
        <family val="2"/>
        <scheme val="minor"/>
      </rPr>
      <t>$1,008</t>
    </r>
    <r>
      <rPr>
        <sz val="11"/>
        <color theme="1"/>
        <rFont val="Calibri"/>
        <family val="2"/>
        <scheme val="minor"/>
      </rPr>
      <t xml:space="preserve"> per rider.</t>
    </r>
  </si>
  <si>
    <r>
      <t xml:space="preserve">Keeping </t>
    </r>
    <r>
      <rPr>
        <b/>
        <sz val="11"/>
        <color theme="1"/>
        <rFont val="Calibri"/>
        <family val="2"/>
        <scheme val="minor"/>
      </rPr>
      <t>h = $1,000 → $300</t>
    </r>
    <r>
      <rPr>
        <sz val="11"/>
        <color theme="1"/>
        <rFont val="Calibri"/>
        <family val="2"/>
        <scheme val="minor"/>
      </rPr>
      <t xml:space="preserve"> (FY26→FY30) is defensible as </t>
    </r>
    <r>
      <rPr>
        <i/>
        <sz val="11"/>
        <color theme="1"/>
        <rFont val="Calibri"/>
        <family val="2"/>
        <scheme val="minor"/>
      </rPr>
      <t>incremental</t>
    </r>
    <r>
      <rPr>
        <sz val="11"/>
        <color theme="1"/>
        <rFont val="Calibri"/>
        <family val="2"/>
        <scheme val="minor"/>
      </rPr>
      <t xml:space="preserve"> overhead, not full bus cost. Leave </t>
    </r>
    <r>
      <rPr>
        <b/>
        <sz val="11"/>
        <color theme="1"/>
        <rFont val="Calibri"/>
        <family val="2"/>
        <scheme val="minor"/>
      </rPr>
      <t>Parameters!h_FY</t>
    </r>
    <r>
      <rPr>
        <sz val="11"/>
        <color theme="1"/>
        <rFont val="Calibri"/>
        <family val="2"/>
        <scheme val="minor"/>
      </rPr>
      <t xml:space="preserve"> values editable; note they should be </t>
    </r>
    <r>
      <rPr>
        <b/>
        <sz val="11"/>
        <color theme="1"/>
        <rFont val="Calibri"/>
        <family val="2"/>
        <scheme val="minor"/>
      </rPr>
      <t>zero</t>
    </r>
    <r>
      <rPr>
        <sz val="11"/>
        <color theme="1"/>
        <rFont val="Calibri"/>
        <family val="2"/>
        <scheme val="minor"/>
      </rPr>
      <t xml:space="preserve"> in keep‑open scenarios (no forced transfers).</t>
    </r>
  </si>
  <si>
    <r>
      <t>“Fixed‑like” share of M&amp;O ≈ 30–40%</t>
    </r>
    <r>
      <rPr>
        <sz val="11"/>
        <color theme="1"/>
        <rFont val="Calibri"/>
        <family val="2"/>
        <scheme val="minor"/>
      </rPr>
      <t xml:space="preserve"> (used 30% as a conservative placeholder)</t>
    </r>
  </si>
  <si>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</si>
  <si>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r>
      <t>Arizona FY2025 budget bill (HB 2906)</t>
    </r>
    <r>
      <rPr>
        <sz val="10"/>
        <color theme="1"/>
        <rFont val="Calibri"/>
        <family val="2"/>
        <scheme val="minor"/>
      </rPr>
      <t xml:space="preserve"> sets the </t>
    </r>
    <r>
      <rPr>
        <b/>
        <sz val="10"/>
        <color theme="1"/>
        <rFont val="Calibri"/>
        <family val="2"/>
        <scheme val="minor"/>
      </rPr>
      <t>base level per pupil at $5,013</t>
    </r>
    <r>
      <rPr>
        <sz val="10"/>
        <color theme="1"/>
        <rFont val="Calibri"/>
        <family val="2"/>
        <scheme val="minor"/>
      </rPr>
      <t xml:space="preserve"> for FY2025.
Arizona Senate Issue Brief – K‑12 School Finance (official, widely used reference). Shows the Base Level Amount (FY 2024‑25 = $5,013.33), the factor that (with district weights) drives state aid. ADE lists the same figure in its finance materials.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</si>
</sst>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6"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i/>
      <sz val="11"/>
      <color theme="1"/>
      <name val="Calibri"/>
      <family val="2"/>
      <scheme val="minor"/>
    </font>
    <font>
      <b/>
      <sz val="10"/>
      <color theme="1"/>
      <name val="Aptos"/>
      <family val="2"/>
    </font>
    <font>
      <sz val="10"/>
      <color theme="1"/>
      <name val="Aptos"/>
      <family val="2"/>
    </font>
    <font>
      <i/>
      <sz val="10"/>
      <color theme="1"/>
      <name val="Aptos"/>
      <family val="2"/>
    </font>
    <font>
      <u/>
      <sz val="11"/>
      <color theme="10"/>
      <name val="Calibri"/>
      <family val="2"/>
      <scheme val="minor"/>
    </font>
    <font>
      <u/>
      <sz val="10"/>
      <color theme="10"/>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3">
    <xf numFmtId="0" fontId="0" fillId="0" borderId="0"/>
    <xf numFmtId="44" fontId="3" fillId="0" borderId="0" applyFont="0" applyFill="0" applyBorder="0" applyAlignment="0" applyProtection="0"/>
    <xf numFmtId="0" fontId="14" fillId="0" borderId="0" applyNumberFormat="0" applyFill="0" applyBorder="0" applyAlignment="0" applyProtection="0"/>
  </cellStyleXfs>
  <cellXfs count="55">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7" fillId="4" borderId="0" xfId="0" applyFont="1" applyFill="1"/>
    <xf numFmtId="0" fontId="7" fillId="0" borderId="0" xfId="0" applyFont="1"/>
    <xf numFmtId="0" fontId="8"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9"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4"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5" fillId="0" borderId="0" xfId="2" applyFont="1" applyAlignment="1">
      <alignment vertical="center" wrapText="1"/>
    </xf>
    <xf numFmtId="0" fontId="15"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7" fillId="9" borderId="0" xfId="0" applyFont="1" applyFill="1"/>
    <xf numFmtId="0" fontId="4" fillId="2" borderId="2" xfId="0" applyFont="1" applyFill="1" applyBorder="1" applyAlignment="1">
      <alignment horizontal="center"/>
    </xf>
    <xf numFmtId="0" fontId="4" fillId="2" borderId="4" xfId="0" applyFont="1" applyFill="1" applyBorder="1" applyAlignment="1">
      <alignment horizontal="center"/>
    </xf>
    <xf numFmtId="0" fontId="4" fillId="2" borderId="3" xfId="0" applyFont="1" applyFill="1" applyBorder="1" applyAlignment="1">
      <alignment horizontal="center"/>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D0D7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567927.78570506396</c:v>
                </c:pt>
                <c:pt idx="1">
                  <c:v>-293424.07960467134</c:v>
                </c:pt>
                <c:pt idx="2">
                  <c:v>-1149898.9905424654</c:v>
                </c:pt>
                <c:pt idx="3">
                  <c:v>0</c:v>
                </c:pt>
                <c:pt idx="4">
                  <c:v>-580209.6096090409</c:v>
                </c:pt>
                <c:pt idx="5">
                  <c:v>-1175136.556557734</c:v>
                </c:pt>
                <c:pt idx="6">
                  <c:v>-592439.53478331398</c:v>
                </c:pt>
                <c:pt idx="7">
                  <c:v>-768526.40442941012</c:v>
                </c:pt>
                <c:pt idx="8">
                  <c:v>-1476639.4239017558</c:v>
                </c:pt>
                <c:pt idx="9">
                  <c:v>-1476639.4239017558</c:v>
                </c:pt>
                <c:pt idx="10">
                  <c:v>-1928893.7249177871</c:v>
                </c:pt>
                <c:pt idx="11">
                  <c:v>-1928893.7249177871</c:v>
                </c:pt>
              </c:numCache>
            </c:numRef>
          </c:val>
          <c:extLst>
            <c:ext xmlns:c16="http://schemas.microsoft.com/office/drawing/2014/chart" uri="{C3380CC4-5D6E-409C-BE32-E72D297353CC}">
              <c16:uniqueId val="{00000000-AE38-4BA3-AA55-AE44AE343DDE}"/>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409674.20629534218</c:v>
                </c:pt>
                <c:pt idx="1">
                  <c:v>126846.56378622702</c:v>
                </c:pt>
                <c:pt idx="2">
                  <c:v>-271237.82858899841</c:v>
                </c:pt>
                <c:pt idx="3">
                  <c:v>0</c:v>
                </c:pt>
                <c:pt idx="4">
                  <c:v>-125039.76445545489</c:v>
                </c:pt>
                <c:pt idx="5">
                  <c:v>-290308.46626620181</c:v>
                </c:pt>
                <c:pt idx="6">
                  <c:v>-238100.84794402868</c:v>
                </c:pt>
                <c:pt idx="7">
                  <c:v>-372821.57601926429</c:v>
                </c:pt>
                <c:pt idx="8">
                  <c:v>-582423.73186317505</c:v>
                </c:pt>
                <c:pt idx="9">
                  <c:v>-667737.27635037526</c:v>
                </c:pt>
                <c:pt idx="10">
                  <c:v>-1020596.6302586352</c:v>
                </c:pt>
                <c:pt idx="11">
                  <c:v>-1020596.6302586352</c:v>
                </c:pt>
              </c:numCache>
            </c:numRef>
          </c:val>
          <c:extLst>
            <c:ext xmlns:c16="http://schemas.microsoft.com/office/drawing/2014/chart" uri="{C3380CC4-5D6E-409C-BE32-E72D297353CC}">
              <c16:uniqueId val="{00000001-AE38-4BA3-AA55-AE44AE343DDE}"/>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374650</xdr:colOff>
      <xdr:row>1</xdr:row>
      <xdr:rowOff>76201</xdr:rowOff>
    </xdr:from>
    <xdr:ext cx="3371850" cy="5073650"/>
    <xdr:sp macro="" textlink="">
      <xdr:nvSpPr>
        <xdr:cNvPr id="2" name="TextBox 1">
          <a:extLst>
            <a:ext uri="{FF2B5EF4-FFF2-40B4-BE49-F238E27FC236}">
              <a16:creationId xmlns:a16="http://schemas.microsoft.com/office/drawing/2014/main" id="{B25DCD12-2FB8-A3D2-8BAE-E5009F673541}"/>
            </a:ext>
          </a:extLst>
        </xdr:cNvPr>
        <xdr:cNvSpPr txBox="1"/>
      </xdr:nvSpPr>
      <xdr:spPr>
        <a:xfrm>
          <a:off x="374650" y="260351"/>
          <a:ext cx="3371850" cy="50736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300"/>
            </a:spcAft>
          </a:pPr>
          <a:r>
            <a:rPr lang="en-US" b="1"/>
            <a:t>What this spreadsheet is / is not...</a:t>
          </a:r>
        </a:p>
        <a:p>
          <a:pPr>
            <a:spcAft>
              <a:spcPts val="300"/>
            </a:spcAft>
          </a:pPr>
          <a:endParaRPr lang="en-US" b="1"/>
        </a:p>
        <a:p>
          <a:pPr>
            <a:spcAft>
              <a:spcPts val="300"/>
            </a:spcAft>
          </a:pPr>
          <a:r>
            <a:rPr lang="en-US" b="1"/>
            <a:t>It is:</a:t>
          </a:r>
        </a:p>
        <a:p>
          <a:pPr>
            <a:spcAft>
              <a:spcPts val="300"/>
            </a:spcAft>
          </a:pPr>
          <a:endParaRPr lang="en-US"/>
        </a:p>
        <a:p>
          <a:pPr marL="171450" indent="-171450">
            <a:spcAft>
              <a:spcPts val="300"/>
            </a:spcAft>
            <a:buFont typeface="Arial" panose="020B0604020202020204" pitchFamily="34" charset="0"/>
            <a:buChar char="•"/>
          </a:pPr>
          <a:r>
            <a:rPr lang="en-US"/>
            <a:t>A </a:t>
          </a:r>
          <a:r>
            <a:rPr lang="en-US" b="1"/>
            <a:t>scenario tool</a:t>
          </a:r>
          <a:r>
            <a:rPr lang="en-US"/>
            <a:t> that compares </a:t>
          </a:r>
          <a:r>
            <a:rPr lang="en-US" b="1"/>
            <a:t>net M&amp;O cost after state aid</a:t>
          </a:r>
          <a:r>
            <a:rPr lang="en-US"/>
            <a:t> for seven practical options (repurpose both; repurpose one/keep one; keep both with co‑location or growth lanes).</a:t>
          </a:r>
        </a:p>
        <a:p>
          <a:pPr marL="171450" indent="-171450">
            <a:spcAft>
              <a:spcPts val="300"/>
            </a:spcAft>
            <a:buFont typeface="Arial" panose="020B0604020202020204" pitchFamily="34" charset="0"/>
            <a:buChar char="•"/>
          </a:pPr>
          <a:r>
            <a:rPr lang="en-US" b="1"/>
            <a:t>Transparent math</a:t>
          </a:r>
          <a:r>
            <a:rPr lang="en-US"/>
            <a:t> that you can tune: state aid per ADM, fixed/variable split, retention “r,” receiving overhead “h,” and carry glide paths are all explicit.</a:t>
          </a:r>
        </a:p>
        <a:p>
          <a:pPr marL="171450" indent="-171450">
            <a:spcAft>
              <a:spcPts val="300"/>
            </a:spcAft>
            <a:buFont typeface="Arial" panose="020B0604020202020204" pitchFamily="34" charset="0"/>
            <a:buChar char="•"/>
          </a:pPr>
          <a:r>
            <a:rPr lang="en-US"/>
            <a:t>A way to see </a:t>
          </a:r>
          <a:r>
            <a:rPr lang="en-US" b="1"/>
            <a:t>trade‑offs</a:t>
          </a:r>
          <a:r>
            <a:rPr lang="en-US"/>
            <a:t> over two horizons: </a:t>
          </a:r>
          <a:r>
            <a:rPr lang="en-US" b="1"/>
            <a:t>FY2028 (3‑year)</a:t>
          </a:r>
          <a:r>
            <a:rPr lang="en-US"/>
            <a:t> and </a:t>
          </a:r>
          <a:r>
            <a:rPr lang="en-US" b="1"/>
            <a:t>FY2030 (steady‑state)</a:t>
          </a:r>
          <a:r>
            <a:rPr lang="en-US"/>
            <a:t>, plus the </a:t>
          </a:r>
          <a:r>
            <a:rPr lang="en-US" b="1"/>
            <a:t># of students displaced</a:t>
          </a:r>
          <a:r>
            <a:rPr lang="en-US"/>
            <a:t> and </a:t>
          </a:r>
          <a:r>
            <a:rPr lang="en-US" b="1"/>
            <a:t>students served</a:t>
          </a:r>
          <a:r>
            <a:rPr lang="en-US"/>
            <a:t>.</a:t>
          </a:r>
        </a:p>
        <a:p>
          <a:pPr>
            <a:spcAft>
              <a:spcPts val="300"/>
            </a:spcAft>
          </a:pPr>
          <a:endParaRPr lang="en-US"/>
        </a:p>
        <a:p>
          <a:pPr>
            <a:spcAft>
              <a:spcPts val="300"/>
            </a:spcAft>
          </a:pPr>
          <a:r>
            <a:rPr lang="en-US" b="1"/>
            <a:t>It is not:</a:t>
          </a:r>
        </a:p>
        <a:p>
          <a:pPr>
            <a:spcAft>
              <a:spcPts val="300"/>
            </a:spcAft>
          </a:pPr>
          <a:endParaRPr lang="en-US"/>
        </a:p>
        <a:p>
          <a:pPr marL="171450" indent="-171450">
            <a:spcAft>
              <a:spcPts val="300"/>
            </a:spcAft>
            <a:buFont typeface="Arial" panose="020B0604020202020204" pitchFamily="34" charset="0"/>
            <a:buChar char="•"/>
          </a:pPr>
          <a:r>
            <a:rPr lang="en-US"/>
            <a:t>A full district budget. It focuses on </a:t>
          </a:r>
          <a:r>
            <a:rPr lang="en-US" b="1"/>
            <a:t>Echo &amp; Pima + the students they serve after a decision</a:t>
          </a:r>
          <a:r>
            <a:rPr lang="en-US"/>
            <a:t>, not on systemwide high‑school or capital fund dynamics.</a:t>
          </a:r>
        </a:p>
        <a:p>
          <a:pPr marL="171450" indent="-171450">
            <a:spcAft>
              <a:spcPts val="300"/>
            </a:spcAft>
            <a:buFont typeface="Arial" panose="020B0604020202020204" pitchFamily="34" charset="0"/>
            <a:buChar char="•"/>
          </a:pPr>
          <a:r>
            <a:rPr lang="en-US"/>
            <a:t>A special‑education, ELL, or gift/weight‑adjusted revenue model. It uses </a:t>
          </a:r>
          <a:r>
            <a:rPr lang="en-US" b="1"/>
            <a:t>base aid</a:t>
          </a:r>
          <a:r>
            <a:rPr lang="en-US"/>
            <a:t> unless you choose to add weights.</a:t>
          </a:r>
        </a:p>
        <a:p>
          <a:pPr marL="171450" indent="-171450">
            <a:spcAft>
              <a:spcPts val="300"/>
            </a:spcAft>
            <a:buFont typeface="Arial" panose="020B0604020202020204" pitchFamily="34" charset="0"/>
            <a:buChar char="•"/>
          </a:pPr>
          <a:r>
            <a:rPr lang="en-US"/>
            <a:t>A lease revenue appraisal or a construction estimate. TI/lease values are placeholders until SUSD supplies them.</a:t>
          </a:r>
        </a:p>
        <a:p>
          <a:pPr marL="171450" indent="-171450">
            <a:spcAft>
              <a:spcPts val="300"/>
            </a:spcAft>
            <a:buFont typeface="Arial" panose="020B0604020202020204" pitchFamily="34" charset="0"/>
            <a:buChar char="•"/>
          </a:pPr>
          <a:r>
            <a:rPr lang="en-US"/>
            <a:t>A prediction. It’s a </a:t>
          </a:r>
          <a:r>
            <a:rPr lang="en-US" b="1"/>
            <a:t>decision lens</a:t>
          </a:r>
          <a:r>
            <a:rPr lang="en-US"/>
            <a:t>—results change </a:t>
          </a:r>
          <a:r>
            <a:rPr lang="en-US" b="1"/>
            <a:t>deliberately</a:t>
          </a:r>
          <a:r>
            <a:rPr lang="en-US"/>
            <a:t> when you move the assumptions.</a:t>
          </a:r>
        </a:p>
        <a:p>
          <a:pPr>
            <a:spcAft>
              <a:spcPts val="300"/>
            </a:spcAft>
          </a:pPr>
          <a:endParaRPr lang="en-US" sz="1100"/>
        </a:p>
      </xdr:txBody>
    </xdr:sp>
    <xdr:clientData/>
  </xdr:oneCellAnchor>
  <xdr:oneCellAnchor>
    <xdr:from>
      <xdr:col>6</xdr:col>
      <xdr:colOff>336550</xdr:colOff>
      <xdr:row>1</xdr:row>
      <xdr:rowOff>76200</xdr:rowOff>
    </xdr:from>
    <xdr:ext cx="3740150" cy="5108834"/>
    <xdr:sp macro="" textlink="">
      <xdr:nvSpPr>
        <xdr:cNvPr id="3" name="TextBox 2">
          <a:extLst>
            <a:ext uri="{FF2B5EF4-FFF2-40B4-BE49-F238E27FC236}">
              <a16:creationId xmlns:a16="http://schemas.microsoft.com/office/drawing/2014/main" id="{3E0E7593-0A36-FE98-EC5A-1826183E6E3E}"/>
            </a:ext>
          </a:extLst>
        </xdr:cNvPr>
        <xdr:cNvSpPr txBox="1"/>
      </xdr:nvSpPr>
      <xdr:spPr>
        <a:xfrm>
          <a:off x="3994150" y="260350"/>
          <a:ext cx="3740150" cy="510883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spcAft>
              <a:spcPts val="300"/>
            </a:spcAft>
          </a:pPr>
          <a:r>
            <a:rPr lang="en-US" b="1"/>
            <a:t>What our</a:t>
          </a:r>
          <a:r>
            <a:rPr lang="en-US" b="1" baseline="0"/>
            <a:t> initial analysis suggests...</a:t>
          </a:r>
        </a:p>
        <a:p>
          <a:pPr marL="0" indent="0">
            <a:spcAft>
              <a:spcPts val="300"/>
            </a:spcAft>
            <a:buFont typeface="Arial" panose="020B0604020202020204" pitchFamily="34" charset="0"/>
            <a:buNone/>
          </a:pPr>
          <a:endParaRPr lang="en-US" b="1"/>
        </a:p>
        <a:p>
          <a:pPr marL="0" indent="0">
            <a:spcAft>
              <a:spcPts val="300"/>
            </a:spcAft>
            <a:buFont typeface="Arial" panose="020B0604020202020204" pitchFamily="34" charset="0"/>
            <a:buNone/>
          </a:pPr>
          <a:r>
            <a:rPr lang="en-US" b="0"/>
            <a:t>The</a:t>
          </a:r>
          <a:r>
            <a:rPr lang="en-US" b="0" baseline="0"/>
            <a:t> district can consider </a:t>
          </a:r>
          <a:r>
            <a:rPr lang="en-US" b="1" baseline="0"/>
            <a:t>r</a:t>
          </a:r>
          <a:r>
            <a:rPr lang="en-US" b="1"/>
            <a:t>ight‑sizing with targets.</a:t>
          </a:r>
          <a:r>
            <a:rPr lang="en-US"/>
            <a:t> </a:t>
          </a:r>
        </a:p>
        <a:p>
          <a:pPr marL="0" indent="0">
            <a:spcAft>
              <a:spcPts val="300"/>
            </a:spcAft>
            <a:buFont typeface="Arial" panose="020B0604020202020204" pitchFamily="34" charset="0"/>
            <a:buNone/>
          </a:pPr>
          <a:r>
            <a:rPr lang="en-US"/>
            <a:t>Under today’s statute (</a:t>
          </a:r>
          <a:r>
            <a:rPr lang="en-US" b="1"/>
            <a:t>base level $5,013 per pupil</a:t>
          </a:r>
          <a:r>
            <a:rPr lang="en-US"/>
            <a:t>) and using SUSD’s audited M&amp;O scale as guardrails, the </a:t>
          </a:r>
          <a:r>
            <a:rPr lang="en-US" b="1"/>
            <a:t>repurpose</a:t>
          </a:r>
          <a:r>
            <a:rPr lang="en-US" b="1" baseline="0"/>
            <a:t> </a:t>
          </a:r>
          <a:r>
            <a:rPr lang="en-US" b="1"/>
            <a:t>both</a:t>
          </a:r>
          <a:r>
            <a:rPr lang="en-US" b="0" baseline="0"/>
            <a:t> </a:t>
          </a:r>
          <a:r>
            <a:rPr lang="en-US" b="1" baseline="0"/>
            <a:t>schools</a:t>
          </a:r>
          <a:r>
            <a:rPr lang="en-US" b="0" baseline="0"/>
            <a:t> </a:t>
          </a:r>
          <a:r>
            <a:rPr lang="en-US"/>
            <a:t>path </a:t>
          </a:r>
          <a:r>
            <a:rPr lang="en-US" i="1"/>
            <a:t>can</a:t>
          </a:r>
          <a:r>
            <a:rPr lang="en-US"/>
            <a:t> deliver a lower </a:t>
          </a:r>
          <a:r>
            <a:rPr lang="en-US" b="1"/>
            <a:t>net M&amp;O after aid</a:t>
          </a:r>
          <a:r>
            <a:rPr lang="en-US"/>
            <a:t> by FY2030</a:t>
          </a:r>
          <a:r>
            <a:rPr lang="en-US" baseline="0"/>
            <a:t> </a:t>
          </a:r>
          <a:r>
            <a:rPr lang="en-US" b="1" i="1" baseline="0"/>
            <a:t>only if</a:t>
          </a:r>
          <a:r>
            <a:rPr lang="en-US" baseline="0"/>
            <a:t> </a:t>
          </a:r>
          <a:r>
            <a:rPr lang="en-US"/>
            <a:t>two execution items are real:</a:t>
          </a:r>
        </a:p>
        <a:p>
          <a:pPr marL="171450" indent="-171450">
            <a:spcAft>
              <a:spcPts val="300"/>
            </a:spcAft>
            <a:buFont typeface="Arial" panose="020B0604020202020204" pitchFamily="34" charset="0"/>
            <a:buChar char="•"/>
          </a:pPr>
          <a:endParaRPr lang="en-US" b="1"/>
        </a:p>
        <a:p>
          <a:pPr marL="171450" indent="-171450">
            <a:spcAft>
              <a:spcPts val="300"/>
            </a:spcAft>
            <a:buFont typeface="Arial" panose="020B0604020202020204" pitchFamily="34" charset="0"/>
            <a:buChar char="•"/>
          </a:pPr>
          <a:r>
            <a:rPr lang="en-US" b="1"/>
            <a:t>Carry falls fast</a:t>
          </a:r>
          <a:r>
            <a:rPr lang="en-US"/>
            <a:t> (plant/insurance/utilities meaningfully shed or covered by a tenant), and</a:t>
          </a:r>
        </a:p>
        <a:p>
          <a:pPr marL="171450" indent="-171450">
            <a:spcAft>
              <a:spcPts val="300"/>
            </a:spcAft>
            <a:buFont typeface="Arial" panose="020B0604020202020204" pitchFamily="34" charset="0"/>
            <a:buChar char="•"/>
          </a:pPr>
          <a:r>
            <a:rPr lang="en-US" b="1"/>
            <a:t>Receiving overhead tapers</a:t>
          </a:r>
          <a:r>
            <a:rPr lang="en-US"/>
            <a:t> as routes stabilize. </a:t>
          </a:r>
          <a:r>
            <a:rPr lang="en-US">
              <a:hlinkClick xmlns:r="http://schemas.openxmlformats.org/officeDocument/2006/relationships" r:id=""/>
            </a:rPr>
            <a:t>Scottsdale Unified School District</a:t>
          </a:r>
          <a:endParaRPr lang="en-US"/>
        </a:p>
        <a:p>
          <a:pPr>
            <a:spcAft>
              <a:spcPts val="300"/>
            </a:spcAft>
          </a:pPr>
          <a:endParaRPr lang="en-US" b="1"/>
        </a:p>
        <a:p>
          <a:pPr>
            <a:spcAft>
              <a:spcPts val="300"/>
            </a:spcAft>
          </a:pPr>
          <a:r>
            <a:rPr lang="en-US" b="1"/>
            <a:t>But dollars do not have to be the only target.</a:t>
          </a:r>
          <a:r>
            <a:rPr lang="en-US"/>
            <a:t> </a:t>
          </a:r>
        </a:p>
        <a:p>
          <a:pPr>
            <a:spcAft>
              <a:spcPts val="300"/>
            </a:spcAft>
          </a:pPr>
          <a:endParaRPr lang="en-US"/>
        </a:p>
        <a:p>
          <a:pPr>
            <a:spcAft>
              <a:spcPts val="300"/>
            </a:spcAft>
          </a:pPr>
          <a:r>
            <a:rPr lang="en-US"/>
            <a:t>Keep‑open options (co‑location, growth hub) </a:t>
          </a:r>
          <a:r>
            <a:rPr lang="en-US" b="1"/>
            <a:t>serve more SUSD students</a:t>
          </a:r>
          <a:r>
            <a:rPr lang="en-US"/>
            <a:t> and </a:t>
          </a:r>
          <a:r>
            <a:rPr lang="en-US" b="1"/>
            <a:t>avoid 250–550 displacements</a:t>
          </a:r>
          <a:r>
            <a:rPr lang="en-US"/>
            <a:t>. When we credit overlay seats at </a:t>
          </a:r>
          <a:r>
            <a:rPr lang="en-US" b="1"/>
            <a:t>marginal cost</a:t>
          </a:r>
          <a:r>
            <a:rPr lang="en-US"/>
            <a:t> (not full average cost), the </a:t>
          </a:r>
          <a:r>
            <a:rPr lang="en-US" b="1"/>
            <a:t>5‑year average delta</a:t>
          </a:r>
          <a:r>
            <a:rPr lang="en-US"/>
            <a:t> with repurpose narrows sharply.</a:t>
          </a:r>
        </a:p>
        <a:p>
          <a:pPr>
            <a:spcAft>
              <a:spcPts val="300"/>
            </a:spcAft>
          </a:pPr>
          <a:endParaRPr lang="en-US"/>
        </a:p>
        <a:p>
          <a:pPr>
            <a:spcAft>
              <a:spcPts val="300"/>
            </a:spcAft>
          </a:pPr>
          <a:r>
            <a:rPr lang="en-US"/>
            <a:t>That is a rational place to </a:t>
          </a:r>
          <a:r>
            <a:rPr lang="en-US" b="1"/>
            <a:t>buy time</a:t>
          </a:r>
          <a:r>
            <a:rPr lang="en-US"/>
            <a:t> and </a:t>
          </a:r>
          <a:r>
            <a:rPr lang="en-US" b="1"/>
            <a:t>measure</a:t>
          </a:r>
          <a:r>
            <a:rPr lang="en-US"/>
            <a:t>.</a:t>
          </a:r>
        </a:p>
        <a:p>
          <a:pPr>
            <a:spcAft>
              <a:spcPts val="300"/>
            </a:spcAft>
          </a:pPr>
          <a:endParaRPr lang="en-US"/>
        </a:p>
        <a:p>
          <a:pPr>
            <a:spcAft>
              <a:spcPts val="300"/>
            </a:spcAft>
          </a:pPr>
          <a:r>
            <a:rPr lang="en-US"/>
            <a:t>And...</a:t>
          </a:r>
          <a:r>
            <a:rPr lang="en-US" baseline="0"/>
            <a:t> we have benchmarks that suggest that a 'growth hub' - innovation or arts - can work.  &lt;&lt;to be added - e.g. Campbell School of Innovation in Campbell, CA... or the innovation-type school in Kyrene district.. other?&gt;&gt;</a:t>
          </a:r>
          <a:endParaRPr lang="en-US"/>
        </a:p>
      </xdr:txBody>
    </xdr:sp>
    <xdr:clientData/>
  </xdr:oneCellAnchor>
  <xdr:oneCellAnchor>
    <xdr:from>
      <xdr:col>6</xdr:col>
      <xdr:colOff>336550</xdr:colOff>
      <xdr:row>29</xdr:row>
      <xdr:rowOff>95250</xdr:rowOff>
    </xdr:from>
    <xdr:ext cx="3740150" cy="3690754"/>
    <xdr:sp macro="" textlink="">
      <xdr:nvSpPr>
        <xdr:cNvPr id="4" name="TextBox 3">
          <a:extLst>
            <a:ext uri="{FF2B5EF4-FFF2-40B4-BE49-F238E27FC236}">
              <a16:creationId xmlns:a16="http://schemas.microsoft.com/office/drawing/2014/main" id="{58A91D48-659D-E814-805B-E1C51F8F7DFA}"/>
            </a:ext>
          </a:extLst>
        </xdr:cNvPr>
        <xdr:cNvSpPr txBox="1"/>
      </xdr:nvSpPr>
      <xdr:spPr>
        <a:xfrm>
          <a:off x="3994150" y="5435600"/>
          <a:ext cx="3740150" cy="369075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spcAft>
              <a:spcPts val="300"/>
            </a:spcAft>
          </a:pPr>
          <a:r>
            <a:rPr lang="en-US" b="1"/>
            <a:t>What our</a:t>
          </a:r>
          <a:r>
            <a:rPr lang="en-US" b="1" baseline="0"/>
            <a:t> initial analysis suggests...</a:t>
          </a:r>
        </a:p>
        <a:p>
          <a:pPr marL="0" indent="0">
            <a:spcAft>
              <a:spcPts val="300"/>
            </a:spcAft>
            <a:buFont typeface="Arial" panose="020B0604020202020204" pitchFamily="34" charset="0"/>
            <a:buNone/>
          </a:pPr>
          <a:endParaRPr lang="en-US" b="1"/>
        </a:p>
        <a:p>
          <a:pPr marL="0" indent="0">
            <a:spcAft>
              <a:spcPts val="300"/>
            </a:spcAft>
            <a:buFont typeface="Arial" panose="020B0604020202020204" pitchFamily="34" charset="0"/>
            <a:buNone/>
          </a:pPr>
          <a:r>
            <a:rPr lang="en-US" b="1"/>
            <a:t>&lt;&lt;alternative</a:t>
          </a:r>
          <a:r>
            <a:rPr lang="en-US" b="1" baseline="0"/>
            <a:t> draft story - which one to use (or revise) is tbd&gt;&gt;</a:t>
          </a:r>
        </a:p>
        <a:p>
          <a:pPr marL="0" indent="0">
            <a:spcAft>
              <a:spcPts val="300"/>
            </a:spcAft>
            <a:buFont typeface="Arial" panose="020B0604020202020204" pitchFamily="34" charset="0"/>
            <a:buNone/>
          </a:pPr>
          <a:endParaRPr lang="en-US" b="1" baseline="0"/>
        </a:p>
        <a:p>
          <a:pPr marL="0" indent="0">
            <a:spcAft>
              <a:spcPts val="300"/>
            </a:spcAft>
            <a:buFont typeface="Arial" panose="020B0604020202020204" pitchFamily="34" charset="0"/>
            <a:buNone/>
          </a:pPr>
          <a:r>
            <a:rPr lang="en-US" b="1"/>
            <a:t>We grounded our inputs in the Arizona Auditor General’s statewide spending taxonomy and the legislature’s base‑aid figure.</a:t>
          </a:r>
          <a:r>
            <a:rPr lang="en-US"/>
            <a:t> Using those, we modeled Echo+Pima both ways. </a:t>
          </a:r>
          <a:r>
            <a:rPr lang="en-US" b="1"/>
            <a:t>Repurpose</a:t>
          </a:r>
          <a:r>
            <a:rPr lang="en-US"/>
            <a:t> only creates a clear fiscal edge </a:t>
          </a:r>
          <a:r>
            <a:rPr lang="en-US" b="1"/>
            <a:t>if</a:t>
          </a:r>
          <a:r>
            <a:rPr lang="en-US"/>
            <a:t> SUSD (a) truly sheds site fixed‑carry on a rapid glide and (b) doesn’t lose too many families. With </a:t>
          </a:r>
          <a:r>
            <a:rPr lang="en-US" b="1"/>
            <a:t>realistic retention</a:t>
          </a:r>
          <a:r>
            <a:rPr lang="en-US"/>
            <a:t> and an </a:t>
          </a:r>
          <a:r>
            <a:rPr lang="en-US" b="1"/>
            <a:t>incremental receiving cost</a:t>
          </a:r>
          <a:r>
            <a:rPr lang="en-US"/>
            <a:t> that tapers as routes settle, the net edge narrows quickly—and </a:t>
          </a:r>
          <a:r>
            <a:rPr lang="en-US" b="1"/>
            <a:t>keep‑open options that grow enrollment at marginal cost are often comparable on dollars while avoiding disruption and protecting SUSD’s distinctiveness</a:t>
          </a:r>
          <a:r>
            <a:rPr lang="en-US"/>
            <a:t>. Given Echo’s high open‑enrollment mix, we show a lower‑retention sensitivity as the conservative view, and we recommend SUSD publish site‑level plant/insurance/admin and post‑closure re‑enrollment so the Board can decide with apples‑to‑apples numbers. </a:t>
          </a:r>
          <a:endParaRPr lang="en-US"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808506</xdr:colOff>
      <xdr:row>0</xdr:row>
      <xdr:rowOff>19234</xdr:rowOff>
    </xdr:from>
    <xdr:to>
      <xdr:col>1</xdr:col>
      <xdr:colOff>1265706</xdr:colOff>
      <xdr:row>1</xdr:row>
      <xdr:rowOff>20729</xdr:rowOff>
    </xdr:to>
    <xdr:sp macro="" textlink="">
      <xdr:nvSpPr>
        <xdr:cNvPr id="6" name="Rectangle 5">
          <a:extLst>
            <a:ext uri="{FF2B5EF4-FFF2-40B4-BE49-F238E27FC236}">
              <a16:creationId xmlns:a16="http://schemas.microsoft.com/office/drawing/2014/main" id="{9AC50031-A9C5-3D0D-0ED1-D5B0FB59A869}"/>
            </a:ext>
          </a:extLst>
        </xdr:cNvPr>
        <xdr:cNvSpPr/>
      </xdr:nvSpPr>
      <xdr:spPr>
        <a:xfrm>
          <a:off x="1088653" y="19234"/>
          <a:ext cx="457200" cy="203201"/>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200" b="1">
              <a:solidFill>
                <a:sysClr val="windowText" lastClr="000000"/>
              </a:solidFill>
            </a:rPr>
            <a:t>yellow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36" name="Chart 35">
          <a:extLst>
            <a:ext uri="{FF2B5EF4-FFF2-40B4-BE49-F238E27FC236}">
              <a16:creationId xmlns:a16="http://schemas.microsoft.com/office/drawing/2014/main" id="{29FBACB4-FC7A-49CF-8BA3-49A851CD5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5740400" cy="15248277"/>
    <xdr:sp macro="" textlink="">
      <xdr:nvSpPr>
        <xdr:cNvPr id="2" name="TextBox 1">
          <a:extLst>
            <a:ext uri="{FF2B5EF4-FFF2-40B4-BE49-F238E27FC236}">
              <a16:creationId xmlns:a16="http://schemas.microsoft.com/office/drawing/2014/main" id="{7CD35453-AB6B-4982-AC43-97C9CFF63AC1}"/>
            </a:ext>
          </a:extLst>
        </xdr:cNvPr>
        <xdr:cNvSpPr txBox="1"/>
      </xdr:nvSpPr>
      <xdr:spPr>
        <a:xfrm>
          <a:off x="609600" y="184150"/>
          <a:ext cx="5740400" cy="1524827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u="sng"/>
            <a:t>Q&amp;A</a:t>
          </a:r>
        </a:p>
        <a:p>
          <a:endParaRPr lang="en-US" b="1"/>
        </a:p>
        <a:p>
          <a:r>
            <a:rPr lang="en-US" b="1"/>
            <a:t>Why is base state aid set around $5k?</a:t>
          </a:r>
          <a:br>
            <a:rPr lang="en-US"/>
          </a:br>
          <a:r>
            <a:rPr lang="en-US"/>
            <a:t>Arizona sets a single </a:t>
          </a:r>
          <a:r>
            <a:rPr lang="en-US" b="1"/>
            <a:t>base level per pupil</a:t>
          </a:r>
          <a:r>
            <a:rPr lang="en-US"/>
            <a:t> each year in statute; for </a:t>
          </a:r>
          <a:r>
            <a:rPr lang="en-US" b="1"/>
            <a:t>FY2025 it is $5,013.</a:t>
          </a:r>
          <a:r>
            <a:rPr lang="en-US"/>
            <a:t> Districts then add weights (SPED, ELL, etc.). Your model starts with the statutory base.</a:t>
          </a:r>
        </a:p>
        <a:p>
          <a:endParaRPr lang="en-US"/>
        </a:p>
        <a:p>
          <a:r>
            <a:rPr lang="en-US" b="1"/>
            <a:t>Why exclude Pre‑K from “served” ADM?</a:t>
          </a:r>
          <a:br>
            <a:rPr lang="en-US"/>
          </a:br>
          <a:r>
            <a:rPr lang="en-US"/>
            <a:t>Because general Pre‑K </a:t>
          </a:r>
          <a:r>
            <a:rPr lang="en-US" b="1"/>
            <a:t>does not generate ADM</a:t>
          </a:r>
          <a:r>
            <a:rPr lang="en-US"/>
            <a:t> under </a:t>
          </a:r>
          <a:r>
            <a:rPr lang="en-US" b="1"/>
            <a:t>A.R.S. §15‑901</a:t>
          </a:r>
          <a:r>
            <a:rPr lang="en-US"/>
            <a:t>; only some SPED preschool programs do. You can still model tuition Pre‑K separately as a lease/fee program. </a:t>
          </a:r>
          <a:r>
            <a:rPr lang="en-US">
              <a:hlinkClick xmlns:r="http://schemas.openxmlformats.org/officeDocument/2006/relationships" r:id=""/>
            </a:rPr>
            <a:t>Arizona Department of Education</a:t>
          </a:r>
          <a:endParaRPr lang="en-US"/>
        </a:p>
        <a:p>
          <a:endParaRPr lang="en-US"/>
        </a:p>
        <a:p>
          <a:r>
            <a:rPr lang="en-US" b="1"/>
            <a:t>Is the 30% “fixed” share reasonable?</a:t>
          </a:r>
          <a:br>
            <a:rPr lang="en-US"/>
          </a:br>
          <a:r>
            <a:rPr lang="en-US"/>
            <a:t>Statewide function splits published by the </a:t>
          </a:r>
          <a:r>
            <a:rPr lang="en-US" b="1"/>
            <a:t>Arizona Auditor General</a:t>
          </a:r>
          <a:r>
            <a:rPr lang="en-US"/>
            <a:t> show plant ops + admin + central services commonly total </a:t>
          </a:r>
          <a:r>
            <a:rPr lang="en-US" b="1"/>
            <a:t>~30–40%</a:t>
          </a:r>
          <a:r>
            <a:rPr lang="en-US"/>
            <a:t>. We adopted </a:t>
          </a:r>
          <a:r>
            <a:rPr lang="en-US" b="1"/>
            <a:t>30%</a:t>
          </a:r>
          <a:r>
            <a:rPr lang="en-US"/>
            <a:t> to avoid overstating fixed costs; site‑level Fund‑001 lines will refine it for SUSD. </a:t>
          </a:r>
          <a:r>
            <a:rPr lang="en-US">
              <a:hlinkClick xmlns:r="http://schemas.openxmlformats.org/officeDocument/2006/relationships" r:id=""/>
            </a:rPr>
            <a:t>Sun Devil Central</a:t>
          </a:r>
          <a:endParaRPr lang="en-US"/>
        </a:p>
        <a:p>
          <a:r>
            <a:rPr lang="en-US" b="1"/>
            <a:t>Where did the $1,000 → $300 “receiving overhead” come from?</a:t>
          </a:r>
          <a:br>
            <a:rPr lang="en-US"/>
          </a:br>
          <a:r>
            <a:rPr lang="en-US"/>
            <a:t>It’s a </a:t>
          </a:r>
          <a:r>
            <a:rPr lang="en-US" b="1"/>
            <a:t>conservative transitional increment</a:t>
          </a:r>
          <a:r>
            <a:rPr lang="en-US"/>
            <a:t> (route changes, scheduling/admin). For context, AZ districts’ </a:t>
          </a:r>
          <a:r>
            <a:rPr lang="en-US" b="1"/>
            <a:t>transport spending per rider</a:t>
          </a:r>
          <a:r>
            <a:rPr lang="en-US"/>
            <a:t> often exceeds </a:t>
          </a:r>
          <a:r>
            <a:rPr lang="en-US" b="1"/>
            <a:t>$2,000</a:t>
          </a:r>
          <a:r>
            <a:rPr lang="en-US"/>
            <a:t> statewide; we’re modeling </a:t>
          </a:r>
          <a:r>
            <a:rPr lang="en-US" b="1"/>
            <a:t>incremental</a:t>
          </a:r>
          <a:r>
            <a:rPr lang="en-US"/>
            <a:t> costs, not full bus cost.</a:t>
          </a:r>
        </a:p>
        <a:p>
          <a:endParaRPr lang="en-US"/>
        </a:p>
        <a:p>
          <a:r>
            <a:rPr lang="en-US" b="1"/>
            <a:t>What retention should we assume if we close?</a:t>
          </a:r>
          <a:br>
            <a:rPr lang="en-US"/>
          </a:br>
          <a:r>
            <a:rPr lang="en-US"/>
            <a:t>There’s no single AZ number. Research on big‑city closures shows </a:t>
          </a:r>
          <a:r>
            <a:rPr lang="en-US" b="1"/>
            <a:t>most students remain in‑district</a:t>
          </a:r>
          <a:r>
            <a:rPr lang="en-US"/>
            <a:t> the next year (Chicago is a well‑studied example). Your 65–85% band brackets that; SUSD should publish actual post‑move tracking if closures proceed. </a:t>
          </a:r>
          <a:r>
            <a:rPr lang="en-US">
              <a:hlinkClick xmlns:r="http://schemas.openxmlformats.org/officeDocument/2006/relationships" r:id=""/>
            </a:rPr>
            <a:t>UChicago Consortium on School Research</a:t>
          </a:r>
          <a:endParaRPr lang="en-US"/>
        </a:p>
        <a:p>
          <a:endParaRPr lang="en-US"/>
        </a:p>
        <a:p>
          <a:r>
            <a:rPr lang="en-US" b="1"/>
            <a:t>Why credit overlay seats at 50% of average cost?</a:t>
          </a:r>
          <a:br>
            <a:rPr lang="en-US"/>
          </a:br>
          <a:r>
            <a:rPr lang="en-US"/>
            <a:t>Because adding </a:t>
          </a:r>
          <a:r>
            <a:rPr lang="en-US" b="1"/>
            <a:t>sections</a:t>
          </a:r>
          <a:r>
            <a:rPr lang="en-US"/>
            <a:t> (teachers/aides/supplies) is truly marginal; </a:t>
          </a:r>
          <a:r>
            <a:rPr lang="en-US" b="1"/>
            <a:t>plant/admin</a:t>
          </a:r>
          <a:r>
            <a:rPr lang="en-US"/>
            <a:t> are not. The 50% factor approximates that split using statewide function data; we’ll replace it with </a:t>
          </a:r>
          <a:r>
            <a:rPr lang="en-US" b="1"/>
            <a:t>SUSD staffing ratios and plant ops</a:t>
          </a:r>
          <a:r>
            <a:rPr lang="en-US"/>
            <a:t> once provided. </a:t>
          </a:r>
          <a:r>
            <a:rPr lang="en-US">
              <a:hlinkClick xmlns:r="http://schemas.openxmlformats.org/officeDocument/2006/relationships" r:id=""/>
            </a:rPr>
            <a:t>Sun Devil Central</a:t>
          </a:r>
          <a:endParaRPr lang="en-US"/>
        </a:p>
        <a:p>
          <a:r>
            <a:rPr lang="en-US" b="1"/>
            <a:t>Are we missing revenue weights (SPED/ELL, etc.)?</a:t>
          </a:r>
          <a:br>
            <a:rPr lang="en-US"/>
          </a:br>
          <a:r>
            <a:rPr lang="en-US"/>
            <a:t>Yes—by design, to keep apples‑to‑apples. If you add them, apply the same weights to </a:t>
          </a:r>
          <a:r>
            <a:rPr lang="en-US" b="1"/>
            <a:t>both</a:t>
          </a:r>
          <a:r>
            <a:rPr lang="en-US"/>
            <a:t> the repurpose and keep‑open cases for students actually served in SUSD.</a:t>
          </a:r>
        </a:p>
        <a:p>
          <a:endParaRPr lang="en-US"/>
        </a:p>
        <a:p>
          <a:r>
            <a:rPr lang="en-US" sz="1100" b="1" i="0" u="none" strike="noStrike">
              <a:solidFill>
                <a:schemeClr val="tx1"/>
              </a:solidFill>
              <a:effectLst/>
              <a:latin typeface="+mn-lt"/>
              <a:ea typeface="+mn-ea"/>
              <a:cs typeface="+mn-cs"/>
            </a:rPr>
            <a:t>Why “Fixed share of M&amp;O = 0.30”?</a:t>
          </a:r>
          <a:r>
            <a:rPr lang="en-US">
              <a:effectLst/>
            </a:rPr>
            <a:t> </a:t>
          </a:r>
          <a:r>
            <a:rPr lang="en-US" sz="1100" b="0" i="0" u="none" strike="noStrike">
              <a:solidFill>
                <a:schemeClr val="tx1"/>
              </a:solidFill>
              <a:effectLst/>
              <a:latin typeface="+mn-lt"/>
              <a:ea typeface="+mn-ea"/>
              <a:cs typeface="+mn-cs"/>
            </a:rPr>
            <a:t>District M&amp;O typically has a sizable semi‑fixed component (plant ops/custodial/insurance/admin overhead). Without site‑level detail yet, 30% is a conservative placeholder in the middle of the 25–40% range many K‑12 systems sit in. We will replace it with SUSD plant ops + insurance shares when available.</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“Ops savings (keep‑open) = 0.007 (0.7%)”?</a:t>
          </a:r>
          <a:r>
            <a:rPr lang="en-US">
              <a:effectLst/>
            </a:rPr>
            <a:t> </a:t>
          </a:r>
          <a:r>
            <a:rPr lang="en-US" sz="1100" b="0" i="0" u="none" strike="noStrike">
              <a:solidFill>
                <a:schemeClr val="tx1"/>
              </a:solidFill>
              <a:effectLst/>
              <a:latin typeface="+mn-lt"/>
              <a:ea typeface="+mn-ea"/>
              <a:cs typeface="+mn-cs"/>
            </a:rPr>
            <a:t>This represents “light discipline” (utilities/purchasing tweaks, route smoothing) that does not depend on closing a site. I set it very low on purpose so it doesn’t drive results. We’ll calibrate with SUSD data (e.g., last year’s utility audits) if provided.</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“Extra savings (co‑location) = 0.015 (1.5%)”?</a:t>
          </a:r>
          <a:r>
            <a:rPr lang="en-US">
              <a:effectLst/>
            </a:rPr>
            <a:t> </a:t>
          </a:r>
          <a:r>
            <a:rPr lang="en-US" sz="1100" b="0" i="0" u="none" strike="noStrike">
              <a:solidFill>
                <a:schemeClr val="tx1"/>
              </a:solidFill>
              <a:effectLst/>
              <a:latin typeface="+mn-lt"/>
              <a:ea typeface="+mn-ea"/>
              <a:cs typeface="+mn-cs"/>
            </a:rPr>
            <a:t>This reflects incremental savings from consolidating some services on one campus (custodial/grounds/partial routing). Again kept small and conservative; we’ll swap in real custodial (sq‑ft), grounds and route deltas when we get them.</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“Repurpose TI per closed site (FY26) = $1.2M”? What is “one‑time carry/TI”?</a:t>
          </a:r>
          <a:r>
            <a:rPr lang="en-US">
              <a:effectLst/>
            </a:rPr>
            <a:t> </a:t>
          </a:r>
          <a:r>
            <a:rPr lang="en-US" sz="1100" b="0" i="0" u="none" strike="noStrike">
              <a:solidFill>
                <a:schemeClr val="tx1"/>
              </a:solidFill>
              <a:effectLst/>
              <a:latin typeface="+mn-lt"/>
              <a:ea typeface="+mn-ea"/>
              <a:cs typeface="+mn-cs"/>
            </a:rPr>
            <a:t>“TI”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a:t>
          </a:r>
          <a:r>
            <a:rPr lang="en-US">
              <a:effectLst/>
            </a:rPr>
            <a:t> </a:t>
          </a:r>
        </a:p>
        <a:p>
          <a:endParaRPr lang="en-US">
            <a:effectLst/>
          </a:endParaRPr>
        </a:p>
        <a:p>
          <a:r>
            <a:rPr lang="en-US" b="1"/>
            <a:t>What is the receiving‑overhead (h) logic?</a:t>
          </a:r>
        </a:p>
        <a:p>
          <a:r>
            <a:rPr lang="en-US" b="1"/>
            <a:t>What h is:</a:t>
          </a:r>
          <a:r>
            <a:rPr lang="en-US"/>
            <a:t> a </a:t>
          </a:r>
          <a:r>
            <a:rPr lang="en-US" b="1"/>
            <a:t>truly incremental</a:t>
          </a:r>
          <a:r>
            <a:rPr lang="en-US"/>
            <a:t> cost added only when students are </a:t>
          </a:r>
          <a:r>
            <a:rPr lang="en-US" b="1"/>
            <a:t>displaced by repurpose/closure</a:t>
          </a:r>
          <a:r>
            <a:rPr lang="en-US"/>
            <a:t>—routing changes, added stops/supervision, scheduling/records work, and hand‑off supports.</a:t>
          </a:r>
        </a:p>
        <a:p>
          <a:endParaRPr lang="en-US"/>
        </a:p>
        <a:p>
          <a:r>
            <a:rPr lang="en-US" b="1"/>
            <a:t>Why not add h (receiving-overhead</a:t>
          </a:r>
          <a:r>
            <a:rPr lang="en-US" b="1" baseline="0"/>
            <a:t> cost)</a:t>
          </a:r>
          <a:r>
            <a:rPr lang="en-US" b="1"/>
            <a:t> in keep‑open scenarios:</a:t>
          </a:r>
          <a:r>
            <a:rPr lang="en-US"/>
            <a:t> because those costs </a:t>
          </a:r>
          <a:r>
            <a:rPr lang="en-US" b="1"/>
            <a:t>don’t occur</a:t>
          </a:r>
          <a:r>
            <a:rPr lang="en-US"/>
            <a:t> when students remain at Echo/Pima. Your marginal‑cost factor on overlay seats already covers the classroom‑staffing side; </a:t>
          </a:r>
          <a:r>
            <a:rPr lang="en-US" b="1"/>
            <a:t>h</a:t>
          </a:r>
          <a:r>
            <a:rPr lang="en-US"/>
            <a:t> covers the </a:t>
          </a:r>
          <a:r>
            <a:rPr lang="en-US" i="1"/>
            <a:t>transition</a:t>
          </a:r>
          <a:r>
            <a:rPr lang="en-US"/>
            <a:t> and </a:t>
          </a:r>
          <a:r>
            <a:rPr lang="en-US" i="1"/>
            <a:t>routing friction</a:t>
          </a:r>
          <a:r>
            <a:rPr lang="en-US"/>
            <a:t> that is unique to closure.</a:t>
          </a:r>
        </a:p>
        <a:p>
          <a:r>
            <a:rPr lang="en-US" b="1"/>
            <a:t>...and</a:t>
          </a:r>
          <a:r>
            <a:rPr lang="en-US" b="1" baseline="0"/>
            <a:t> why is </a:t>
          </a:r>
          <a:r>
            <a:rPr lang="en-US" b="1"/>
            <a:t>$1,000→$300 reasonable for h?</a:t>
          </a:r>
          <a:r>
            <a:rPr lang="en-US"/>
            <a:t> </a:t>
          </a:r>
        </a:p>
        <a:p>
          <a:r>
            <a:rPr lang="en-US"/>
            <a:t>It is </a:t>
          </a:r>
          <a:r>
            <a:rPr lang="en-US" b="1"/>
            <a:t>far below</a:t>
          </a:r>
          <a:r>
            <a:rPr lang="en-US"/>
            <a:t> many districts’ </a:t>
          </a:r>
          <a:r>
            <a:rPr lang="en-US" i="1"/>
            <a:t>full</a:t>
          </a:r>
          <a:r>
            <a:rPr lang="en-US"/>
            <a:t> transport cost per rider and represents only the </a:t>
          </a:r>
          <a:r>
            <a:rPr lang="en-US" b="1"/>
            <a:t>incremental lift</a:t>
          </a:r>
          <a:r>
            <a:rPr lang="en-US"/>
            <a:t> to absorb displaced students; as routes settle, that incremental overhead appropriately </a:t>
          </a:r>
          <a:r>
            <a:rPr lang="en-US" b="1"/>
            <a:t>tapers</a:t>
          </a:r>
          <a:r>
            <a:rPr lang="en-US"/>
            <a:t> (we model to $300 by FY30). The AAG district examples above show per‑rider costs in the ~$900–$1,100 range, validating the </a:t>
          </a:r>
          <a:r>
            <a:rPr lang="en-US" b="1"/>
            <a:t>order of magnitude</a:t>
          </a:r>
          <a:r>
            <a:rPr lang="en-US"/>
            <a:t>.</a:t>
          </a:r>
        </a:p>
        <a:p>
          <a:br>
            <a:rPr lang="en-US"/>
          </a:br>
          <a:endParaRPr lang="en-US"/>
        </a:p>
        <a:p>
          <a:r>
            <a:rPr lang="en-US" b="1"/>
            <a:t>What are the retention benchmarks &amp; why Echo’s mix argues for a lower central case?</a:t>
          </a:r>
        </a:p>
        <a:p>
          <a:endParaRPr lang="en-US" b="1"/>
        </a:p>
        <a:p>
          <a:r>
            <a:rPr lang="en-US" b="1"/>
            <a:t>Large‑district evidence:</a:t>
          </a:r>
          <a:r>
            <a:rPr lang="en-US"/>
            <a:t> UChicago Consortium’s analyses of the 2013 CPS closures found </a:t>
          </a:r>
          <a:r>
            <a:rPr lang="en-US" b="1"/>
            <a:t>most</a:t>
          </a:r>
          <a:r>
            <a:rPr lang="en-US"/>
            <a:t> displaced students remained in district the next year; outcomes varied with the </a:t>
          </a:r>
          <a:r>
            <a:rPr lang="en-US" b="1"/>
            <a:t>quality and distance</a:t>
          </a:r>
          <a:r>
            <a:rPr lang="en-US"/>
            <a:t> of receiving schools. That supports using a central </a:t>
          </a:r>
          <a:r>
            <a:rPr lang="en-US" b="1"/>
            <a:t>r ~ 0.75</a:t>
          </a:r>
          <a:r>
            <a:rPr lang="en-US"/>
            <a:t> with a band. </a:t>
          </a:r>
          <a:r>
            <a:rPr lang="en-US">
              <a:hlinkClick xmlns:r="http://schemas.openxmlformats.org/officeDocument/2006/relationships" r:id=""/>
            </a:rPr>
            <a:t>UChicago Consortium on School Research</a:t>
          </a:r>
          <a:endParaRPr lang="en-US"/>
        </a:p>
        <a:p>
          <a:r>
            <a:rPr lang="en-US" b="1"/>
            <a:t>What we could not find in AZ:</a:t>
          </a:r>
          <a:r>
            <a:rPr lang="en-US"/>
            <a:t> districts rarely publish explicit </a:t>
          </a:r>
          <a:r>
            <a:rPr lang="en-US" b="1"/>
            <a:t>post‑closure retention</a:t>
          </a:r>
          <a:r>
            <a:rPr lang="en-US"/>
            <a:t>; you can proxy from post‑closure enrollment by receiving schools if SUSD shares it.</a:t>
          </a:r>
        </a:p>
        <a:p>
          <a:r>
            <a:rPr lang="en-US" b="1"/>
            <a:t>Echo nuance:</a:t>
          </a:r>
          <a:r>
            <a:rPr lang="en-US"/>
            <a:t> Because </a:t>
          </a:r>
          <a:r>
            <a:rPr lang="en-US" b="1"/>
            <a:t>Echo is open‑enrollment and draws many out‑of‑district students</a:t>
          </a:r>
          <a:r>
            <a:rPr lang="en-US"/>
            <a:t>, those families may be </a:t>
          </a:r>
          <a:r>
            <a:rPr lang="en-US" b="1"/>
            <a:t>less likely</a:t>
          </a:r>
          <a:r>
            <a:rPr lang="en-US"/>
            <a:t> to follow to a different SUSD school after a closure (they already cross a boundary by choice). That argues for running a </a:t>
          </a:r>
          <a:r>
            <a:rPr lang="en-US" b="1"/>
            <a:t>lower Echo‑weighted r</a:t>
          </a:r>
          <a:r>
            <a:rPr lang="en-US"/>
            <a:t> scenario (e.g., </a:t>
          </a:r>
          <a:r>
            <a:rPr lang="en-US" b="1"/>
            <a:t>0.55–0.65</a:t>
          </a:r>
          <a:r>
            <a:rPr lang="en-US"/>
            <a:t>) in addition to the district‑wide </a:t>
          </a:r>
          <a:r>
            <a:rPr lang="en-US" b="1"/>
            <a:t>0.65–0.85</a:t>
          </a:r>
          <a:r>
            <a:rPr lang="en-US"/>
            <a:t> band. Make that explicit in the dashboard and in the sensitivity mini‑cards.</a:t>
          </a:r>
        </a:p>
        <a:p>
          <a:endParaRPr lang="en-US">
            <a:effectLst/>
          </a:endParaRPr>
        </a:p>
        <a:p>
          <a:endParaRPr lang="en-US" sz="1100">
            <a:effectLst/>
          </a:endParaRPr>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Brian Hohl" id="{23D5FC06-65CB-4CF9-B61C-95A61A5D2882}" userId="757b1534c68434be"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5-10-23T18:31:51.74" personId="{23D5FC06-65CB-4CF9-B61C-95A61A5D2882}" id="{F97E6F2C-3130-40DF-89F9-DCE5ECC4CFEC}">
    <text>Orig = 0</text>
  </threadedComment>
  <threadedComment ref="G4" dT="2025-10-23T18:31:34.42" personId="{23D5FC06-65CB-4CF9-B61C-95A61A5D2882}" id="{7CD921EF-81B9-4E85-B3F4-9F97BBE42FDA}">
    <text>Orig = 0.015</text>
  </threadedComment>
  <threadedComment ref="C6" dT="2025-10-23T18:31:03.10" personId="{23D5FC06-65CB-4CF9-B61C-95A61A5D2882}" id="{3B1EB5CC-937A-4F70-9052-9D0C02F3349A}">
    <text>Orig = 150</text>
  </threadedComment>
  <threadedComment ref="C7" dT="2025-10-23T18:30:48.91" personId="{23D5FC06-65CB-4CF9-B61C-95A61A5D2882}" id="{1E38F14A-3136-4E92-A2CB-3B9B6F4E2B3D}">
    <text>Orig = 150</text>
  </threadedComment>
  <threadedComment ref="C11" dT="2025-10-23T19:11:02.39" personId="{23D5FC06-65CB-4CF9-B61C-95A61A5D2882}" id="{53F7E55F-BC00-4C47-9313-F3DED64B84B8}">
    <text>Orig = 0</text>
  </threadedComment>
  <threadedComment ref="F11" dT="2025-10-23T19:10:39.43" personId="{23D5FC06-65CB-4CF9-B61C-95A61A5D2882}" id="{03A8DC09-E997-4F55-BFCB-CF6742A2B9C8}">
    <text xml:space="preserve">Orig = N/A, since overlay was orig 0
</text>
  </threadedComment>
  <threadedComment ref="C13" dT="2025-10-23T18:57:25.65" personId="{23D5FC06-65CB-4CF9-B61C-95A61A5D2882}" id="{661AD4F0-C53D-48F0-8A38-375ABA5B9DCA}">
    <text>Orig = 0</text>
  </threadedComment>
  <threadedComment ref="F13" dT="2025-10-23T19:09:45.50" personId="{23D5FC06-65CB-4CF9-B61C-95A61A5D2882}" id="{17351E05-C16E-4174-851E-ABE0B7161AD8}">
    <text>Orig = N/A, since overlay was orig 0</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www.susd.org/fs/resource-manager/view/01a0856f-3a75-4ceb-9e90-02f85099b68d" TargetMode="External"/><Relationship Id="rId1" Type="http://schemas.openxmlformats.org/officeDocument/2006/relationships/hyperlink" Target="https://legiscan.com/AZ/text/HB2969/2025?utm_source=chatgpt.com" TargetMode="External"/><Relationship Id="rId6" Type="http://schemas.openxmlformats.org/officeDocument/2006/relationships/hyperlink" Target="https://sdspending.azauditor.gov/"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DD28-7537-42CE-9E5E-1C16E7BEA149}">
  <dimension ref="A1:AH79"/>
  <sheetViews>
    <sheetView workbookViewId="0">
      <selection activeCell="D33" sqref="D33"/>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DFA2-F52D-4DA3-A796-BDE1E0BE95CD}">
  <dimension ref="A1:P59"/>
  <sheetViews>
    <sheetView tabSelected="1" zoomScale="80" zoomScaleNormal="80" workbookViewId="0">
      <pane xSplit="2" ySplit="1" topLeftCell="C2" activePane="bottomRight" state="frozen"/>
      <selection pane="topRight" activeCell="C1" sqref="C1"/>
      <selection pane="bottomLeft" activeCell="A2" sqref="A2"/>
      <selection pane="bottomRight" activeCell="C9" sqref="C9"/>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x14ac:dyDescent="0.35">
      <c r="A1" s="17" t="s">
        <v>201</v>
      </c>
    </row>
    <row r="3" spans="1:16" x14ac:dyDescent="0.35">
      <c r="A3" s="4" t="s">
        <v>149</v>
      </c>
      <c r="B3" s="7"/>
    </row>
    <row r="4" spans="1:16" x14ac:dyDescent="0.35">
      <c r="A4" s="4"/>
    </row>
    <row r="5" spans="1:16" x14ac:dyDescent="0.35">
      <c r="B5" s="6" t="s">
        <v>9</v>
      </c>
      <c r="C5" s="52" t="s">
        <v>10</v>
      </c>
      <c r="D5" s="53"/>
      <c r="E5" s="53"/>
      <c r="F5" s="53"/>
      <c r="G5" s="54"/>
      <c r="H5" s="6" t="s">
        <v>8</v>
      </c>
      <c r="J5" s="4"/>
      <c r="K5" s="4"/>
      <c r="L5" s="4"/>
      <c r="M5" s="4"/>
      <c r="N5" s="4"/>
      <c r="O5" s="4"/>
      <c r="P5" s="4"/>
    </row>
    <row r="6" spans="1:16" x14ac:dyDescent="0.35">
      <c r="B6" s="7" t="s">
        <v>11</v>
      </c>
      <c r="C6" s="14">
        <v>2.5000000000000001E-2</v>
      </c>
      <c r="D6" s="7"/>
      <c r="E6" s="7"/>
      <c r="F6" s="7"/>
      <c r="G6" s="7"/>
      <c r="H6" s="8" t="s">
        <v>12</v>
      </c>
    </row>
    <row r="7" spans="1:16" x14ac:dyDescent="0.35">
      <c r="B7" s="7" t="s">
        <v>13</v>
      </c>
      <c r="C7" s="14">
        <v>9936</v>
      </c>
      <c r="D7" s="7"/>
      <c r="E7" s="7"/>
      <c r="F7" s="7"/>
      <c r="G7" s="7"/>
      <c r="H7" s="8" t="s">
        <v>172</v>
      </c>
    </row>
    <row r="8" spans="1:16" x14ac:dyDescent="0.35">
      <c r="B8" s="7" t="s">
        <v>15</v>
      </c>
      <c r="C8" s="14">
        <v>0.46</v>
      </c>
      <c r="D8" s="7"/>
      <c r="E8" s="7"/>
      <c r="F8" s="7"/>
      <c r="G8" s="7"/>
      <c r="H8" s="8" t="s">
        <v>171</v>
      </c>
    </row>
    <row r="9" spans="1:16" x14ac:dyDescent="0.35">
      <c r="B9" s="7" t="s">
        <v>47</v>
      </c>
      <c r="C9" s="14">
        <v>5013</v>
      </c>
      <c r="D9" s="7"/>
      <c r="E9" s="7"/>
      <c r="F9" s="7"/>
      <c r="G9" s="7"/>
      <c r="H9" s="8" t="s">
        <v>48</v>
      </c>
    </row>
    <row r="10" spans="1:16" x14ac:dyDescent="0.35">
      <c r="B10" s="7" t="s">
        <v>17</v>
      </c>
      <c r="C10" s="14">
        <v>7.0000000000000001E-3</v>
      </c>
      <c r="D10" s="7"/>
      <c r="E10" s="7"/>
      <c r="F10" s="7"/>
      <c r="G10" s="7"/>
      <c r="H10" s="8" t="s">
        <v>18</v>
      </c>
    </row>
    <row r="11" spans="1:16" x14ac:dyDescent="0.35">
      <c r="B11" s="7" t="s">
        <v>19</v>
      </c>
      <c r="C11" s="14">
        <v>1.4999999999999999E-2</v>
      </c>
      <c r="D11" s="7"/>
      <c r="E11" s="7"/>
      <c r="F11" s="7"/>
      <c r="G11" s="7"/>
      <c r="H11" s="8" t="s">
        <v>20</v>
      </c>
    </row>
    <row r="12" spans="1:16" x14ac:dyDescent="0.35">
      <c r="B12" s="7" t="s">
        <v>21</v>
      </c>
      <c r="C12" s="14">
        <v>257</v>
      </c>
      <c r="D12" s="7"/>
      <c r="E12" s="7"/>
      <c r="F12" s="7"/>
      <c r="G12" s="7"/>
      <c r="H12" s="8" t="s">
        <v>173</v>
      </c>
    </row>
    <row r="13" spans="1:16" x14ac:dyDescent="0.35">
      <c r="B13" s="7" t="s">
        <v>22</v>
      </c>
      <c r="C13" s="14">
        <v>296</v>
      </c>
      <c r="D13" s="7"/>
      <c r="E13" s="7"/>
      <c r="F13" s="7"/>
      <c r="G13" s="7"/>
      <c r="H13" s="8" t="s">
        <v>144</v>
      </c>
    </row>
    <row r="14" spans="1:16" x14ac:dyDescent="0.35">
      <c r="B14" s="7" t="s">
        <v>23</v>
      </c>
      <c r="C14" s="7">
        <f>C12+C13</f>
        <v>553</v>
      </c>
      <c r="D14" s="7"/>
      <c r="E14" s="7"/>
      <c r="F14" s="7"/>
      <c r="G14" s="7"/>
      <c r="H14" s="8" t="s">
        <v>24</v>
      </c>
    </row>
    <row r="15" spans="1:16" x14ac:dyDescent="0.35">
      <c r="B15" s="7" t="s">
        <v>44</v>
      </c>
      <c r="C15" s="13">
        <v>1200000</v>
      </c>
      <c r="D15" s="7"/>
      <c r="E15" s="7"/>
      <c r="F15" s="7"/>
      <c r="G15" s="7"/>
      <c r="H15" s="8" t="s">
        <v>145</v>
      </c>
    </row>
    <row r="16" spans="1:16" x14ac:dyDescent="0.35">
      <c r="B16" s="7" t="s">
        <v>147</v>
      </c>
      <c r="C16" s="14">
        <v>0.75</v>
      </c>
      <c r="D16" s="7"/>
      <c r="E16" s="7"/>
      <c r="F16" s="7"/>
      <c r="G16" s="7"/>
      <c r="H16" s="8" t="s">
        <v>174</v>
      </c>
    </row>
    <row r="17" spans="1:8" x14ac:dyDescent="0.35">
      <c r="B17" s="7" t="s">
        <v>139</v>
      </c>
      <c r="C17" s="14">
        <v>0.4</v>
      </c>
      <c r="D17" s="7"/>
      <c r="E17" s="7"/>
      <c r="F17" s="7"/>
      <c r="G17" s="7"/>
      <c r="H17" s="8" t="s">
        <v>175</v>
      </c>
    </row>
    <row r="18" spans="1:8" x14ac:dyDescent="0.35">
      <c r="B18" s="7"/>
      <c r="C18" s="7"/>
      <c r="D18" s="7"/>
      <c r="E18" s="7"/>
      <c r="F18" s="7"/>
      <c r="G18" s="7"/>
      <c r="H18" s="9"/>
    </row>
    <row r="19" spans="1:8" x14ac:dyDescent="0.35">
      <c r="A19" s="4" t="s">
        <v>146</v>
      </c>
      <c r="B19" s="7"/>
      <c r="C19" s="7"/>
      <c r="D19" s="7"/>
      <c r="E19" s="7"/>
      <c r="F19" s="7"/>
      <c r="G19" s="7"/>
      <c r="H19" s="9"/>
    </row>
    <row r="20" spans="1:8" x14ac:dyDescent="0.35">
      <c r="A20" s="4"/>
      <c r="B20" s="7"/>
      <c r="C20" s="7"/>
      <c r="D20" s="7"/>
      <c r="E20" s="7"/>
      <c r="F20" s="7"/>
      <c r="G20" s="7"/>
      <c r="H20" s="9"/>
    </row>
    <row r="21" spans="1:8" x14ac:dyDescent="0.35">
      <c r="B21" s="6" t="s">
        <v>2</v>
      </c>
      <c r="C21" s="6" t="s">
        <v>54</v>
      </c>
      <c r="D21" s="6" t="s">
        <v>55</v>
      </c>
      <c r="E21" s="6" t="s">
        <v>56</v>
      </c>
      <c r="F21" s="15"/>
      <c r="G21" s="15"/>
      <c r="H21" s="9"/>
    </row>
    <row r="22" spans="1:8" x14ac:dyDescent="0.35">
      <c r="B22" s="7" t="s">
        <v>3</v>
      </c>
      <c r="C22" s="14">
        <v>1000</v>
      </c>
      <c r="D22" s="14">
        <v>0.4</v>
      </c>
      <c r="E22" s="14">
        <v>0.5</v>
      </c>
      <c r="F22" s="7"/>
      <c r="G22" s="7"/>
      <c r="H22" s="8" t="s">
        <v>150</v>
      </c>
    </row>
    <row r="23" spans="1:8" x14ac:dyDescent="0.35">
      <c r="B23" s="7" t="s">
        <v>4</v>
      </c>
      <c r="C23" s="14">
        <v>800</v>
      </c>
      <c r="D23" s="14">
        <v>0.3</v>
      </c>
      <c r="E23" s="14">
        <v>0.4</v>
      </c>
      <c r="F23" s="7"/>
      <c r="G23" s="7"/>
      <c r="H23" s="8" t="s">
        <v>151</v>
      </c>
    </row>
    <row r="24" spans="1:8" x14ac:dyDescent="0.35">
      <c r="B24" s="7" t="s">
        <v>5</v>
      </c>
      <c r="C24" s="14">
        <v>600</v>
      </c>
      <c r="D24" s="14">
        <v>0.2</v>
      </c>
      <c r="E24" s="14">
        <v>0.35</v>
      </c>
      <c r="F24" s="7"/>
      <c r="G24" s="7"/>
      <c r="H24" s="8" t="s">
        <v>152</v>
      </c>
    </row>
    <row r="25" spans="1:8" x14ac:dyDescent="0.35">
      <c r="B25" s="7" t="s">
        <v>6</v>
      </c>
      <c r="C25" s="14">
        <v>500</v>
      </c>
      <c r="D25" s="14">
        <v>0.1</v>
      </c>
      <c r="E25" s="14">
        <v>0.3</v>
      </c>
      <c r="F25" s="7"/>
      <c r="G25" s="7"/>
      <c r="H25" s="9"/>
    </row>
    <row r="26" spans="1:8" x14ac:dyDescent="0.35">
      <c r="B26" s="7" t="s">
        <v>7</v>
      </c>
      <c r="C26" s="14">
        <v>300</v>
      </c>
      <c r="D26" s="14">
        <v>0.1</v>
      </c>
      <c r="E26" s="14">
        <v>0.3</v>
      </c>
      <c r="F26" s="7"/>
      <c r="G26" s="7"/>
      <c r="H26" s="9"/>
    </row>
    <row r="27" spans="1:8" x14ac:dyDescent="0.35">
      <c r="B27" s="7"/>
      <c r="C27" s="7"/>
      <c r="D27" s="7"/>
      <c r="E27" s="7"/>
      <c r="F27" s="7"/>
      <c r="G27" s="7"/>
      <c r="H27" s="9"/>
    </row>
    <row r="28" spans="1:8" x14ac:dyDescent="0.35">
      <c r="A28" s="4" t="s">
        <v>148</v>
      </c>
      <c r="B28" s="7"/>
      <c r="C28" s="7"/>
      <c r="D28" s="7"/>
      <c r="E28" s="7"/>
      <c r="F28" s="7"/>
      <c r="G28" s="7"/>
      <c r="H28" s="9"/>
    </row>
    <row r="29" spans="1:8" x14ac:dyDescent="0.35">
      <c r="A29" s="4"/>
      <c r="B29" s="7"/>
      <c r="C29" s="7"/>
      <c r="D29" s="7"/>
      <c r="E29" s="7"/>
      <c r="F29" s="7"/>
      <c r="G29" s="7"/>
      <c r="H29" s="9"/>
    </row>
    <row r="30" spans="1:8" x14ac:dyDescent="0.35">
      <c r="A30" s="10" t="s">
        <v>187</v>
      </c>
      <c r="B30" s="6" t="s">
        <v>189</v>
      </c>
      <c r="C30" s="6" t="s">
        <v>155</v>
      </c>
      <c r="D30" s="6" t="s">
        <v>153</v>
      </c>
      <c r="E30" s="6" t="s">
        <v>154</v>
      </c>
      <c r="F30" s="6" t="s">
        <v>157</v>
      </c>
      <c r="G30" s="6" t="s">
        <v>156</v>
      </c>
      <c r="H30" s="9"/>
    </row>
    <row r="31" spans="1:8" x14ac:dyDescent="0.35">
      <c r="A31" s="10" t="s">
        <v>97</v>
      </c>
      <c r="B31" s="7" t="s">
        <v>202</v>
      </c>
      <c r="C31" s="14">
        <v>0</v>
      </c>
      <c r="D31" s="14">
        <v>0</v>
      </c>
      <c r="E31" s="14">
        <v>0</v>
      </c>
      <c r="F31" s="14">
        <v>0.5</v>
      </c>
      <c r="G31" s="14">
        <v>0</v>
      </c>
      <c r="H31" s="9"/>
    </row>
    <row r="32" spans="1:8" x14ac:dyDescent="0.35">
      <c r="A32" s="10" t="s">
        <v>99</v>
      </c>
      <c r="B32" s="7" t="s">
        <v>158</v>
      </c>
      <c r="C32" s="14">
        <v>150</v>
      </c>
      <c r="D32" s="14">
        <v>0</v>
      </c>
      <c r="E32" s="14">
        <v>0</v>
      </c>
      <c r="F32" s="14">
        <v>0.5</v>
      </c>
      <c r="G32" s="14">
        <v>0</v>
      </c>
      <c r="H32" s="9" t="s">
        <v>186</v>
      </c>
    </row>
    <row r="33" spans="1:8" x14ac:dyDescent="0.35">
      <c r="A33" s="10" t="s">
        <v>101</v>
      </c>
      <c r="B33" s="7" t="s">
        <v>162</v>
      </c>
      <c r="C33" s="14">
        <v>150</v>
      </c>
      <c r="D33" s="14">
        <v>0</v>
      </c>
      <c r="E33" s="14">
        <v>0</v>
      </c>
      <c r="F33" s="14">
        <v>0.5</v>
      </c>
      <c r="G33" s="14">
        <v>0.05</v>
      </c>
      <c r="H33" s="51"/>
    </row>
    <row r="34" spans="1:8" x14ac:dyDescent="0.35">
      <c r="A34" s="10" t="s">
        <v>103</v>
      </c>
      <c r="B34" s="7" t="s">
        <v>159</v>
      </c>
      <c r="C34" s="14">
        <v>250</v>
      </c>
      <c r="D34" s="14">
        <v>0</v>
      </c>
      <c r="E34" s="14">
        <v>0</v>
      </c>
      <c r="F34" s="14">
        <v>0.5</v>
      </c>
      <c r="G34" s="14">
        <v>0</v>
      </c>
      <c r="H34" s="9"/>
    </row>
    <row r="35" spans="1:8" x14ac:dyDescent="0.35">
      <c r="A35" s="10" t="s">
        <v>105</v>
      </c>
      <c r="B35" s="7" t="s">
        <v>203</v>
      </c>
      <c r="C35" s="14">
        <v>0</v>
      </c>
      <c r="D35" s="14">
        <v>0</v>
      </c>
      <c r="E35" s="14">
        <v>0</v>
      </c>
      <c r="F35" s="14">
        <v>0.5</v>
      </c>
      <c r="G35" s="14">
        <v>0</v>
      </c>
      <c r="H35" s="9"/>
    </row>
    <row r="36" spans="1:8" x14ac:dyDescent="0.35">
      <c r="A36" s="10" t="s">
        <v>107</v>
      </c>
      <c r="B36" s="7" t="s">
        <v>164</v>
      </c>
      <c r="C36" s="14">
        <v>150</v>
      </c>
      <c r="D36" s="14">
        <v>0</v>
      </c>
      <c r="E36" s="14">
        <v>0</v>
      </c>
      <c r="F36" s="14">
        <v>0.7</v>
      </c>
      <c r="G36" s="14">
        <v>0</v>
      </c>
      <c r="H36" s="9"/>
    </row>
    <row r="37" spans="1:8" x14ac:dyDescent="0.35">
      <c r="A37" s="10" t="s">
        <v>110</v>
      </c>
      <c r="B37" s="7" t="s">
        <v>165</v>
      </c>
      <c r="C37" s="14">
        <v>0</v>
      </c>
      <c r="D37" s="14">
        <v>1</v>
      </c>
      <c r="E37" s="14">
        <v>1</v>
      </c>
      <c r="F37" s="14">
        <v>0.5</v>
      </c>
      <c r="G37" s="14">
        <v>0</v>
      </c>
      <c r="H37" s="9"/>
    </row>
    <row r="38" spans="1:8" x14ac:dyDescent="0.35">
      <c r="A38" s="10" t="s">
        <v>113</v>
      </c>
      <c r="B38" s="7" t="s">
        <v>166</v>
      </c>
      <c r="C38" s="14">
        <v>0</v>
      </c>
      <c r="D38" s="14">
        <v>1</v>
      </c>
      <c r="E38" s="14">
        <v>1</v>
      </c>
      <c r="F38" s="14">
        <v>0.5</v>
      </c>
      <c r="G38" s="14">
        <v>0</v>
      </c>
      <c r="H38" s="9"/>
    </row>
    <row r="39" spans="1:8" x14ac:dyDescent="0.35">
      <c r="A39" s="10" t="s">
        <v>116</v>
      </c>
      <c r="B39" s="7" t="s">
        <v>167</v>
      </c>
      <c r="C39" s="14">
        <v>0</v>
      </c>
      <c r="D39" s="14">
        <v>1</v>
      </c>
      <c r="E39" s="14">
        <v>0</v>
      </c>
      <c r="F39" s="14">
        <v>0</v>
      </c>
      <c r="G39" s="14">
        <v>0</v>
      </c>
      <c r="H39" s="9"/>
    </row>
    <row r="40" spans="1:8" x14ac:dyDescent="0.35">
      <c r="A40" s="10" t="s">
        <v>118</v>
      </c>
      <c r="B40" s="7" t="s">
        <v>168</v>
      </c>
      <c r="C40" s="14">
        <v>150</v>
      </c>
      <c r="D40" s="14">
        <v>1</v>
      </c>
      <c r="E40" s="14">
        <v>0</v>
      </c>
      <c r="F40" s="14">
        <v>0</v>
      </c>
      <c r="G40" s="14">
        <v>0</v>
      </c>
      <c r="H40" s="9"/>
    </row>
    <row r="41" spans="1:8" x14ac:dyDescent="0.35">
      <c r="A41" s="10" t="s">
        <v>120</v>
      </c>
      <c r="B41" s="7" t="s">
        <v>169</v>
      </c>
      <c r="C41" s="14">
        <v>0</v>
      </c>
      <c r="D41" s="14">
        <v>0</v>
      </c>
      <c r="E41" s="14">
        <v>1</v>
      </c>
      <c r="F41" s="14">
        <v>1</v>
      </c>
      <c r="G41" s="14">
        <v>0</v>
      </c>
      <c r="H41" s="9"/>
    </row>
    <row r="42" spans="1:8" x14ac:dyDescent="0.35">
      <c r="A42" s="10" t="s">
        <v>122</v>
      </c>
      <c r="B42" s="7" t="s">
        <v>170</v>
      </c>
      <c r="C42" s="14">
        <v>200</v>
      </c>
      <c r="D42" s="14">
        <v>0</v>
      </c>
      <c r="E42" s="14">
        <v>1</v>
      </c>
      <c r="F42" s="14">
        <v>1</v>
      </c>
      <c r="G42" s="14">
        <v>0</v>
      </c>
      <c r="H42" s="9"/>
    </row>
    <row r="43" spans="1:8" x14ac:dyDescent="0.35">
      <c r="B43" s="7"/>
      <c r="C43" s="7"/>
      <c r="D43" s="7"/>
      <c r="E43" s="7"/>
      <c r="F43" s="7"/>
      <c r="G43" s="7"/>
    </row>
    <row r="44" spans="1:8" x14ac:dyDescent="0.35">
      <c r="A44" s="4" t="s">
        <v>188</v>
      </c>
      <c r="B44" s="7"/>
      <c r="C44" s="7"/>
      <c r="D44" s="7"/>
      <c r="E44" s="7"/>
      <c r="F44" s="7"/>
      <c r="G44" s="7"/>
    </row>
    <row r="45" spans="1:8" x14ac:dyDescent="0.35">
      <c r="B45" s="7"/>
      <c r="C45" s="7"/>
      <c r="D45" s="7"/>
      <c r="E45" s="7"/>
      <c r="F45" s="7"/>
      <c r="G45" s="7"/>
    </row>
    <row r="46" spans="1:8" x14ac:dyDescent="0.35">
      <c r="B46" s="6" t="s">
        <v>189</v>
      </c>
      <c r="C46" s="6" t="s">
        <v>131</v>
      </c>
      <c r="D46" s="6" t="s">
        <v>132</v>
      </c>
      <c r="E46" s="7"/>
      <c r="F46" s="7"/>
      <c r="G46" s="7"/>
      <c r="H46" s="9" t="s">
        <v>200</v>
      </c>
    </row>
    <row r="47" spans="1:8" x14ac:dyDescent="0.35">
      <c r="B47" s="7" t="s">
        <v>161</v>
      </c>
      <c r="C47" s="14" t="s">
        <v>135</v>
      </c>
      <c r="D47" s="14" t="s">
        <v>137</v>
      </c>
      <c r="E47" s="7"/>
      <c r="F47" s="7"/>
      <c r="G47" s="7"/>
      <c r="H47" s="9"/>
    </row>
    <row r="48" spans="1:8" x14ac:dyDescent="0.35">
      <c r="B48" s="7" t="s">
        <v>158</v>
      </c>
      <c r="C48" s="14" t="s">
        <v>138</v>
      </c>
      <c r="D48" s="14" t="s">
        <v>136</v>
      </c>
      <c r="E48" s="7"/>
      <c r="F48" s="7"/>
      <c r="G48" s="7"/>
      <c r="H48" s="9"/>
    </row>
    <row r="49" spans="2:8" x14ac:dyDescent="0.35">
      <c r="B49" s="7" t="s">
        <v>162</v>
      </c>
      <c r="C49" s="16" t="s">
        <v>190</v>
      </c>
      <c r="D49" s="14" t="s">
        <v>137</v>
      </c>
      <c r="E49" s="7"/>
      <c r="F49" s="7"/>
      <c r="G49" s="7"/>
      <c r="H49" s="9"/>
    </row>
    <row r="50" spans="2:8" x14ac:dyDescent="0.35">
      <c r="B50" s="7" t="s">
        <v>159</v>
      </c>
      <c r="C50" s="16" t="s">
        <v>190</v>
      </c>
      <c r="D50" s="14" t="s">
        <v>137</v>
      </c>
      <c r="E50" s="7"/>
      <c r="F50" s="7"/>
      <c r="G50" s="7"/>
      <c r="H50" s="9"/>
    </row>
    <row r="51" spans="2:8" x14ac:dyDescent="0.35">
      <c r="B51" s="7" t="s">
        <v>160</v>
      </c>
      <c r="C51" s="14" t="s">
        <v>135</v>
      </c>
      <c r="D51" s="14" t="s">
        <v>137</v>
      </c>
      <c r="E51" s="7"/>
      <c r="F51" s="7"/>
      <c r="G51" s="7"/>
      <c r="H51" s="9"/>
    </row>
    <row r="52" spans="2:8" x14ac:dyDescent="0.35">
      <c r="B52" s="7" t="s">
        <v>164</v>
      </c>
      <c r="C52" s="16" t="s">
        <v>190</v>
      </c>
      <c r="D52" s="14" t="s">
        <v>137</v>
      </c>
      <c r="E52" s="7"/>
      <c r="F52" s="7"/>
      <c r="G52" s="7"/>
      <c r="H52" s="9"/>
    </row>
    <row r="53" spans="2:8" x14ac:dyDescent="0.35">
      <c r="B53" s="7" t="s">
        <v>165</v>
      </c>
      <c r="C53" s="16" t="s">
        <v>191</v>
      </c>
      <c r="D53" s="14" t="s">
        <v>134</v>
      </c>
      <c r="E53" s="7"/>
      <c r="F53" s="7"/>
      <c r="G53" s="7"/>
      <c r="H53" s="9"/>
    </row>
    <row r="54" spans="2:8" x14ac:dyDescent="0.35">
      <c r="B54" s="7" t="s">
        <v>166</v>
      </c>
      <c r="C54" s="16" t="s">
        <v>133</v>
      </c>
      <c r="D54" s="14" t="s">
        <v>192</v>
      </c>
      <c r="E54" s="7"/>
      <c r="F54" s="7"/>
      <c r="G54" s="7"/>
      <c r="H54" s="9"/>
    </row>
    <row r="55" spans="2:8" x14ac:dyDescent="0.35">
      <c r="B55" s="7" t="s">
        <v>167</v>
      </c>
      <c r="C55" s="16" t="s">
        <v>133</v>
      </c>
      <c r="D55" s="14" t="s">
        <v>192</v>
      </c>
      <c r="E55" s="7"/>
      <c r="F55" s="7"/>
      <c r="G55" s="7"/>
      <c r="H55" s="9"/>
    </row>
    <row r="56" spans="2:8" x14ac:dyDescent="0.35">
      <c r="B56" s="7" t="s">
        <v>168</v>
      </c>
      <c r="C56" s="14" t="s">
        <v>138</v>
      </c>
      <c r="D56" s="14" t="s">
        <v>192</v>
      </c>
      <c r="E56" s="7"/>
      <c r="F56" s="7"/>
      <c r="G56" s="7"/>
      <c r="H56" s="9"/>
    </row>
    <row r="57" spans="2:8" x14ac:dyDescent="0.35">
      <c r="B57" s="7" t="s">
        <v>169</v>
      </c>
      <c r="C57" s="16" t="s">
        <v>133</v>
      </c>
      <c r="D57" s="14" t="s">
        <v>192</v>
      </c>
      <c r="E57" s="7"/>
      <c r="F57" s="7"/>
      <c r="G57" s="7"/>
      <c r="H57" s="9"/>
    </row>
    <row r="58" spans="2:8" x14ac:dyDescent="0.35">
      <c r="B58" s="7" t="s">
        <v>170</v>
      </c>
      <c r="C58" s="14" t="s">
        <v>138</v>
      </c>
      <c r="D58" s="14" t="s">
        <v>192</v>
      </c>
      <c r="E58" s="7"/>
      <c r="F58" s="7"/>
      <c r="G58" s="7"/>
      <c r="H58" s="9"/>
    </row>
    <row r="59" spans="2:8" x14ac:dyDescent="0.35">
      <c r="H59" s="9"/>
    </row>
  </sheetData>
  <mergeCells count="1">
    <mergeCell ref="C5:G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21"/>
  <sheetViews>
    <sheetView topLeftCell="A4"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193</v>
      </c>
      <c r="H1" s="20"/>
      <c r="I1" s="19" t="s">
        <v>199</v>
      </c>
      <c r="J1" s="20"/>
      <c r="K1" s="19" t="s">
        <v>194</v>
      </c>
      <c r="L1" s="20"/>
      <c r="M1" s="21"/>
      <c r="N1" s="15"/>
      <c r="O1" s="15" t="s">
        <v>197</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59</v>
      </c>
      <c r="C2" s="22" t="s">
        <v>124</v>
      </c>
      <c r="D2" s="22" t="s">
        <v>125</v>
      </c>
      <c r="E2" s="22" t="s">
        <v>126</v>
      </c>
      <c r="F2" s="22" t="s">
        <v>127</v>
      </c>
      <c r="G2" s="22" t="s">
        <v>198</v>
      </c>
      <c r="H2" s="22" t="s">
        <v>128</v>
      </c>
      <c r="I2" s="23" t="str">
        <f>Control_Center!C46</f>
        <v>Distinctiveness</v>
      </c>
      <c r="J2" s="23" t="str">
        <f>Control_Center!D46</f>
        <v>Reversibility</v>
      </c>
      <c r="K2" s="23" t="s">
        <v>129</v>
      </c>
      <c r="L2" s="23" t="s">
        <v>1</v>
      </c>
      <c r="M2" s="23" t="s">
        <v>130</v>
      </c>
      <c r="N2" s="24" t="s">
        <v>163</v>
      </c>
      <c r="O2" s="22" t="s">
        <v>195</v>
      </c>
      <c r="P2" s="22" t="s">
        <v>196</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7681.3358383320001</v>
      </c>
      <c r="D3" s="26">
        <f>INDEX(MultiYear_ProForma!$X$2:$X$61, MATCH(Scenarios!A8&amp;"|FY2030", MultiYear_ProForma!$AG$2:$AG$61, 0))</f>
        <v>7055.1656734597145</v>
      </c>
      <c r="E3" s="26">
        <f>AVERAGE(INDEX(MultiYear_ProForma!$X$2:$X$61, MATCH(Scenarios!A8&amp;"|FY2026", MultiYear_ProForma!$AG$2:$AG$61, 0)),INDEX(MultiYear_ProForma!$X$2:$X$61, MATCH(Scenarios!A8&amp;"|FY2027", MultiYear_ProForma!$AG$2:$AG$61, 0)),INDEX(MultiYear_ProForma!$X$2:$X$61, MATCH(Scenarios!A8&amp;"|FY2028", MultiYear_ProForma!$AG$2:$AG$61, 0)))</f>
        <v>10264.336956232764</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8987.7164154481306</v>
      </c>
      <c r="G3" s="27">
        <f>IFERROR(VLOOKUP($B3&amp;"|FY2026", MultiYear_ProForma!$A:$AG, 14, FALSE), "")</f>
        <v>553</v>
      </c>
      <c r="H3" s="28">
        <f>IFERROR(VLOOKUP($B3&amp;"|FY2030", MultiYear_ProForma!$A:$AG, 6, FALSE) + VLOOKUP($B3&amp;"|FY2030", MultiYear_ProForma!$A:$AG, 15, FALSE), "")</f>
        <v>414.75</v>
      </c>
      <c r="I3" s="28" t="str">
        <f>Control_Center!C48</f>
        <v>o</v>
      </c>
      <c r="J3" s="28" t="str">
        <f>Control_Center!D48</f>
        <v>High</v>
      </c>
      <c r="K3" s="29">
        <f>SUMIFS(MultiYear_ProForma!$AF:$AF, MultiYear_ProForma!$B:$B, $B3, MultiYear_ProForma!$C:$C, "FY2028")</f>
        <v>-1022694.9622481968</v>
      </c>
      <c r="L3" s="29">
        <f>SUMIFS(MultiYear_ProForma!$AF:$AF, MultiYear_ProForma!$B:$B, $B3, MultiYear_ProForma!$C:$C, "FY2030")</f>
        <v>-675600.06766873691</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-1563667.9502405762</v>
      </c>
      <c r="N3" s="30" t="str">
        <f>Control_Center!B37</f>
        <v>Repurpose BOTH (lease)</v>
      </c>
      <c r="O3" s="29">
        <f t="shared" ref="O3:O14" si="0">L3 - INDEX(L:L, MATCH("A_Repurpose_Both_ops", $B:$B, 0))</f>
        <v>567927.78570506396</v>
      </c>
      <c r="P3" s="31">
        <f t="shared" ref="P3:P14" si="1">M3 - INDEX(M:M, MATCH("A_Repurpose_Both_ops", $B:$B, 0))</f>
        <v>409674.20629534218</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8542.5912419745673</v>
      </c>
      <c r="D4" s="26">
        <f>INDEX(MultiYear_ProForma!$X$2:$X$61, MATCH(Scenarios!A13&amp;"|FY2030", MultiYear_ProForma!$AG$2:$AG$61, 0))</f>
        <v>8755.1176262838417</v>
      </c>
      <c r="E4" s="26">
        <f>AVERAGE(INDEX(MultiYear_ProForma!$X$2:$X$61, MATCH(Scenarios!A13&amp;"|FY2026", MultiYear_ProForma!$AG$2:$AG$61, 0)),INDEX(MultiYear_ProForma!$X$2:$X$61, MATCH(Scenarios!A13&amp;"|FY2027", MultiYear_ProForma!$AG$2:$AG$61, 0)),INDEX(MultiYear_ProForma!$X$2:$X$61, MATCH(Scenarios!A13&amp;"|FY2028", MultiYear_ProForma!$AG$2:$AG$61, 0)))</f>
        <v>9131.210871302037</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8951.6222038616143</v>
      </c>
      <c r="G4" s="27">
        <f>IFERROR(VLOOKUP($B4&amp;"|FY2026", MultiYear_ProForma!$A:$AG, 14, FALSE), "")</f>
        <v>296</v>
      </c>
      <c r="H4" s="28">
        <f>IFERROR(VLOOKUP($B4&amp;"|FY2030", MultiYear_ProForma!$A:$AG, 6, FALSE) + VLOOKUP($B4&amp;"|FY2030", MultiYear_ProForma!$A:$AG, 15, FALSE), "")</f>
        <v>679</v>
      </c>
      <c r="I4" s="28" t="str">
        <f>Control_Center!C47</f>
        <v>+</v>
      </c>
      <c r="J4" s="28" t="str">
        <f>Control_Center!D47</f>
        <v>Med</v>
      </c>
      <c r="K4" s="29">
        <f>SUMIFS(MultiYear_ProForma!$AF:$AF, MultiYear_ProForma!$B:$B, $B4, MultiYear_ProForma!$C:$C, "FY2028")</f>
        <v>-1570572.3116101315</v>
      </c>
      <c r="L4" s="29">
        <f>SUMIFS(MultiYear_ProForma!$AF:$AF, MultiYear_ProForma!$B:$B, $B4, MultiYear_ProForma!$C:$C, "FY2030")</f>
        <v>-1536951.9329784722</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-1846495.5927496913</v>
      </c>
      <c r="N4" s="30" t="str">
        <f>Control_Center!B42</f>
        <v>Repurpose PIMA (ops) + Growth Hub @ Echo + Echo Op Growth Targets</v>
      </c>
      <c r="O4" s="29">
        <f t="shared" si="0"/>
        <v>-293424.07960467134</v>
      </c>
      <c r="P4" s="31">
        <f t="shared" si="1"/>
        <v>126846.56378622702</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9103.1136675141879</v>
      </c>
      <c r="D5" s="26">
        <f>INDEX(MultiYear_ProForma!$X$2:$X$61, MATCH(Scenarios!A4&amp;"|FY2030", MultiYear_ProForma!$AG$2:$AG$61, 0))</f>
        <v>9563.958796932091</v>
      </c>
      <c r="E5" s="26">
        <f>AVERAGE(INDEX(MultiYear_ProForma!$X$2:$X$61, MATCH(Scenarios!A4&amp;"|FY2026", MultiYear_ProForma!$AG$2:$AG$61, 0)),INDEX(MultiYear_ProForma!$X$2:$X$61, MATCH(Scenarios!A4&amp;"|FY2027", MultiYear_ProForma!$AG$2:$AG$61, 0)),INDEX(MultiYear_ProForma!$X$2:$X$61, MATCH(Scenarios!A4&amp;"|FY2028", MultiYear_ProForma!$AG$2:$AG$61, 0)))</f>
        <v>8882.8916037750005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9108.665023491827</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-2242414.5019029216</v>
      </c>
      <c r="L5" s="29">
        <f>SUMIFS(MultiYear_ProForma!$AF:$AF, MultiYear_ProForma!$B:$B, $B5, MultiYear_ProForma!$C:$C, "FY2030")</f>
        <v>-2393426.8439162662</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-2244579.9851249168</v>
      </c>
      <c r="N5" s="30" t="str">
        <f>Control_Center!B33</f>
        <v>Co‑Location @ Echo + Op Growth Targets</v>
      </c>
      <c r="O5" s="29">
        <f t="shared" si="0"/>
        <v>-1149898.9905424654</v>
      </c>
      <c r="P5" s="31">
        <f t="shared" si="1"/>
        <v>-271237.82858899841</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8658.8436908309995</v>
      </c>
      <c r="D6" s="26">
        <f>INDEX(MultiYear_ProForma!$X$2:$X$61, MATCH(Scenarios!A9&amp;"|FY2030", MultiYear_ProForma!$AG$2:$AG$61, 0))</f>
        <v>8424.4912568353957</v>
      </c>
      <c r="E6" s="26">
        <f>AVERAGE(INDEX(MultiYear_ProForma!$X$2:$X$61, MATCH(Scenarios!A9&amp;"|FY2026", MultiYear_ProForma!$AG$2:$AG$61, 0)),INDEX(MultiYear_ProForma!$X$2:$X$61, MATCH(Scenarios!A9&amp;"|FY2027", MultiYear_ProForma!$AG$2:$AG$61, 0)),INDEX(MultiYear_ProForma!$X$2:$X$61, MATCH(Scenarios!A9&amp;"|FY2028", MultiYear_ProForma!$AG$2:$AG$61, 0)))</f>
        <v>11008.855627945764</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9975.4782148341292</v>
      </c>
      <c r="G6" s="27">
        <f>IFERROR(VLOOKUP($B6&amp;"|FY2026", MultiYear_ProForma!$A:$AG, 14, FALSE), "")</f>
        <v>553</v>
      </c>
      <c r="H6" s="28">
        <f>IFERROR(VLOOKUP($B6&amp;"|FY2030", MultiYear_ProForma!$A:$AG, 6, FALSE) + VLOOKUP($B6&amp;"|FY2030", MultiYear_ProForma!$A:$AG, 15, FALSE), "")</f>
        <v>414.75</v>
      </c>
      <c r="I6" s="28" t="str">
        <f>Control_Center!C52</f>
        <v>++</v>
      </c>
      <c r="J6" s="28" t="str">
        <f>Control_Center!D52</f>
        <v>Med</v>
      </c>
      <c r="K6" s="29">
        <f>SUMIFS(MultiYear_ProForma!$AF:$AF, MultiYear_ProForma!$B:$B, $B6, MultiYear_ProForma!$C:$C, "FY2028")</f>
        <v>-1428116.3440721571</v>
      </c>
      <c r="L6" s="29">
        <f>SUMIFS(MultiYear_ProForma!$AF:$AF, MultiYear_ProForma!$B:$B, $B6, MultiYear_ProForma!$C:$C, "FY2030")</f>
        <v>-1243527.8533738009</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-1973342.1565359184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8883.9910756679856</v>
      </c>
      <c r="D7" s="26">
        <f>INDEX(MultiYear_ProForma!$X$2:$X$61, MATCH(Scenarios!A11&amp;"|FY2030", MultiYear_ProForma!$AG$2:$AG$61, 0))</f>
        <v>9130.746399335254</v>
      </c>
      <c r="E7" s="26">
        <f>AVERAGE(INDEX(MultiYear_ProForma!$X$2:$X$61, MATCH(Scenarios!A11&amp;"|FY2026", MultiYear_ProForma!$AG$2:$AG$61, 0)),INDEX(MultiYear_ProForma!$X$2:$X$61, MATCH(Scenarios!A11&amp;"|FY2027", MultiYear_ProForma!$AG$2:$AG$61, 0)),INDEX(MultiYear_ProForma!$X$2:$X$61, MATCH(Scenarios!A11&amp;"|FY2028", MultiYear_ProForma!$AG$2:$AG$61, 0)))</f>
        <v>9485.5878047231636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9311.6230681604738</v>
      </c>
      <c r="G7" s="27">
        <f>IFERROR(VLOOKUP($B7&amp;"|FY2026", MultiYear_ProForma!$A:$AG, 14, FALSE), "")</f>
        <v>257</v>
      </c>
      <c r="H7" s="28">
        <f>IFERROR(VLOOKUP($B7&amp;"|FY2030", MultiYear_ProForma!$A:$AG, 6, FALSE) + VLOOKUP($B7&amp;"|FY2030", MultiYear_ProForma!$A:$AG, 15, FALSE), "")</f>
        <v>638.75</v>
      </c>
      <c r="I7" s="28" t="str">
        <f>Control_Center!C49</f>
        <v>++</v>
      </c>
      <c r="J7" s="28" t="str">
        <f>Control_Center!D49</f>
        <v>Med</v>
      </c>
      <c r="K7" s="29">
        <f>SUMIFS(MultiYear_ProForma!$AF:$AF, MultiYear_ProForma!$B:$B, $B7, MultiYear_ProForma!$C:$C, "FY2028")</f>
        <v>-1826853.4299149755</v>
      </c>
      <c r="L7" s="29">
        <f>SUMIFS(MultiYear_ProForma!$AF:$AF, MultiYear_ProForma!$B:$B, $B7, MultiYear_ProForma!$C:$C, "FY2030")</f>
        <v>-1823737.4629828418</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-2098381.9209913732</v>
      </c>
      <c r="N7" s="30" t="str">
        <f>Control_Center!B40</f>
        <v>Repurpose ECHO (ops) + Status-Quo Pima + Pima Op Growth Targets</v>
      </c>
      <c r="O7" s="29">
        <f t="shared" si="0"/>
        <v>-580209.6096090409</v>
      </c>
      <c r="P7" s="31">
        <f t="shared" si="1"/>
        <v>-125039.76445545489</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9103.4355205927768</v>
      </c>
      <c r="D8" s="26">
        <f>INDEX(MultiYear_ProForma!$X$2:$X$61, MATCH(Scenarios!A5&amp;"|FY2030", MultiYear_ProForma!$AG$2:$AG$61, 0))</f>
        <v>9564.2969438227847</v>
      </c>
      <c r="E8" s="26">
        <f>AVERAGE(INDEX(MultiYear_ProForma!$X$2:$X$61, MATCH(Scenarios!A5&amp;"|FY2026", MultiYear_ProForma!$AG$2:$AG$61, 0)),INDEX(MultiYear_ProForma!$X$2:$X$61, MATCH(Scenarios!A5&amp;"|FY2027", MultiYear_ProForma!$AG$2:$AG$61, 0)),INDEX(MultiYear_ProForma!$X$2:$X$61, MATCH(Scenarios!A5&amp;"|FY2028", MultiYear_ProForma!$AG$2:$AG$61, 0)))</f>
        <v>8883.2056706002477</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9108.9870728462229</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-2261360.0738227498</v>
      </c>
      <c r="L8" s="29">
        <f>SUMIFS(MultiYear_ProForma!$AF:$AF, MultiYear_ProForma!$B:$B, $B8, MultiYear_ProForma!$C:$C, "FY2030")</f>
        <v>-2418664.4099315349</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-2263650.6228021202</v>
      </c>
      <c r="N8" s="30" t="str">
        <f>Control_Center!B34</f>
        <v>Grow Both + Op Growth Targets</v>
      </c>
      <c r="O8" s="29">
        <f t="shared" si="0"/>
        <v>-1175136.556557734</v>
      </c>
      <c r="P8" s="31">
        <f t="shared" si="1"/>
        <v>-290308.46626620181</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9260.7588557305899</v>
      </c>
      <c r="D9" s="26">
        <f>INDEX(MultiYear_ProForma!$X$2:$X$61, MATCH(Scenarios!A12&amp;"|FY2030", MultiYear_ProForma!$AG$2:$AG$61, 0))</f>
        <v>9259.1497211219921</v>
      </c>
      <c r="E9" s="26">
        <f>AVERAGE(INDEX(MultiYear_ProForma!$X$2:$X$61, MATCH(Scenarios!A12&amp;"|FY2026", MultiYear_ProForma!$AG$2:$AG$61, 0)),INDEX(MultiYear_ProForma!$X$2:$X$61, MATCH(Scenarios!A12&amp;"|FY2027", MultiYear_ProForma!$AG$2:$AG$61, 0)),INDEX(MultiYear_ProForma!$X$2:$X$61, MATCH(Scenarios!A12&amp;"|FY2028", MultiYear_ProForma!$AG$2:$AG$61, 0)))</f>
        <v>10261.086227759492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9834.3619055014824</v>
      </c>
      <c r="G9" s="27">
        <f>IFERROR(VLOOKUP($B9&amp;"|FY2026", MultiYear_ProForma!$A:$AG, 14, FALSE), "")</f>
        <v>296</v>
      </c>
      <c r="H9" s="28">
        <f>IFERROR(VLOOKUP($B9&amp;"|FY2030", MultiYear_ProForma!$A:$AG, 6, FALSE) + VLOOKUP($B9&amp;"|FY2030", MultiYear_ProForma!$A:$AG, 15, FALSE), "")</f>
        <v>479</v>
      </c>
      <c r="I9" s="28" t="str">
        <f>Control_Center!C53</f>
        <v>--</v>
      </c>
      <c r="J9" s="28" t="str">
        <f>Control_Center!D53</f>
        <v>Low</v>
      </c>
      <c r="K9" s="29">
        <f>SUMIFS(MultiYear_ProForma!$AF:$AF, MultiYear_ProForma!$B:$B, $B9, MultiYear_ProForma!$C:$C, "FY2028")</f>
        <v>-1937666.9210949531</v>
      </c>
      <c r="L9" s="29">
        <f>SUMIFS(MultiYear_ProForma!$AF:$AF, MultiYear_ProForma!$B:$B, $B9, MultiYear_ProForma!$C:$C, "FY2030")</f>
        <v>-1835967.3881571149</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-2211443.004479947</v>
      </c>
      <c r="N9" s="30" t="str">
        <f>Control_Center!B41</f>
        <v>Repurpose PIMA (lease) + Growth Hub @ Echo + Echo Op Growth Targets</v>
      </c>
      <c r="O9" s="29">
        <f t="shared" si="0"/>
        <v>-592439.53478331398</v>
      </c>
      <c r="P9" s="31">
        <f t="shared" si="1"/>
        <v>-238100.84794402868</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9464.1488437861735</v>
      </c>
      <c r="D10" s="26">
        <f>INDEX(MultiYear_ProForma!$X$2:$X$61, MATCH(Scenarios!A10&amp;"|FY2030", MultiYear_ProForma!$AG$2:$AG$61, 0))</f>
        <v>9542.96747240882</v>
      </c>
      <c r="E10" s="26">
        <f>AVERAGE(INDEX(MultiYear_ProForma!$X$2:$X$61, MATCH(Scenarios!A10&amp;"|FY2026", MultiYear_ProForma!$AG$2:$AG$61, 0)),INDEX(MultiYear_ProForma!$X$2:$X$61, MATCH(Scenarios!A10&amp;"|FY2027", MultiYear_ProForma!$AG$2:$AG$61, 0)),INDEX(MultiYear_ProForma!$X$2:$X$61, MATCH(Scenarios!A10&amp;"|FY2028", MultiYear_ProForma!$AG$2:$AG$61, 0)))</f>
        <v>10384.862785159061</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10017.90566708645</v>
      </c>
      <c r="G10" s="27">
        <f>IFERROR(VLOOKUP($B10&amp;"|FY2026", MultiYear_ProForma!$A:$AG, 14, FALSE), "")</f>
        <v>257</v>
      </c>
      <c r="H10" s="28">
        <f>IFERROR(VLOOKUP($B10&amp;"|FY2030", MultiYear_ProForma!$A:$AG, 6, FALSE) + VLOOKUP($B10&amp;"|FY2030", MultiYear_ProForma!$A:$AG, 15, FALSE), "")</f>
        <v>488.75</v>
      </c>
      <c r="I10" s="28" t="str">
        <f>Control_Center!C54</f>
        <v>-</v>
      </c>
      <c r="J10" s="28" t="str">
        <f>Control_Center!D54</f>
        <v>Low-Med</v>
      </c>
      <c r="K10" s="29">
        <f>SUMIFS(MultiYear_ProForma!$AF:$AF, MultiYear_ProForma!$B:$B, $B10, MultiYear_ProForma!$C:$C, "FY2028")</f>
        <v>-2076514.8059004922</v>
      </c>
      <c r="L10" s="29">
        <f>SUMIFS(MultiYear_ProForma!$AF:$AF, MultiYear_ProForma!$B:$B, $B10, MultiYear_ProForma!$C:$C, "FY2030")</f>
        <v>-2012054.257803211</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-2346163.7325551827</v>
      </c>
      <c r="N10" s="30" t="str">
        <f>Control_Center!B39</f>
        <v>Repurpose ECHO (lease) + Status-Quo Pima + Pima Op Growth Targets</v>
      </c>
      <c r="O10" s="29">
        <f t="shared" si="0"/>
        <v>-768526.40442941012</v>
      </c>
      <c r="P10" s="31">
        <f t="shared" si="1"/>
        <v>-372821.57601926429</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9582.2249131728313</v>
      </c>
      <c r="D11" s="26">
        <f>INDEX(MultiYear_ProForma!$X$2:$X$61, MATCH(Scenarios!A3&amp;"|FY2030", MultiYear_ProForma!$AG$2:$AG$61, 0))</f>
        <v>10067.325049402203</v>
      </c>
      <c r="E11" s="26">
        <f>AVERAGE(INDEX(MultiYear_ProForma!$X$2:$X$61, MATCH(Scenarios!A3&amp;"|FY2026", MultiYear_ProForma!$AG$2:$AG$61, 0)),INDEX(MultiYear_ProForma!$X$2:$X$61, MATCH(Scenarios!A3&amp;"|FY2027", MultiYear_ProForma!$AG$2:$AG$61, 0)),INDEX(MultiYear_ProForma!$X$2:$X$61, MATCH(Scenarios!A3&amp;"|FY2028", MultiYear_ProForma!$AG$2:$AG$61, 0)))</f>
        <v>9350.4122145000001</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9588.0684457808711</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-2553410.7501925495</v>
      </c>
      <c r="L11" s="29">
        <f>SUMIFS(MultiYear_ProForma!$AF:$AF, MultiYear_ProForma!$B:$B, $B11, MultiYear_ProForma!$C:$C, "FY2030")</f>
        <v>-2720167.2772755567</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-2555765.8883990934</v>
      </c>
      <c r="N11" s="30" t="str">
        <f>Control_Center!B32</f>
        <v>Status‑Quo + Op Growth Targets</v>
      </c>
      <c r="O11" s="29">
        <f t="shared" si="0"/>
        <v>-1476639.4239017558</v>
      </c>
      <c r="P11" s="31">
        <f t="shared" si="1"/>
        <v>-582423.73186317505</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9582.2249131728313</v>
      </c>
      <c r="D12" s="26">
        <f>INDEX(MultiYear_ProForma!$X$2:$X$61, MATCH(Scenarios!A7&amp;"|FY2030", MultiYear_ProForma!$AG$2:$AG$61, 0))</f>
        <v>10067.325049402203</v>
      </c>
      <c r="E12" s="26">
        <f>AVERAGE(INDEX(MultiYear_ProForma!$X$2:$X$61, MATCH(Scenarios!A7&amp;"|FY2026", MultiYear_ProForma!$AG$2:$AG$61, 0)),INDEX(MultiYear_ProForma!$X$2:$X$61, MATCH(Scenarios!A7&amp;"|FY2027", MultiYear_ProForma!$AG$2:$AG$61, 0)),INDEX(MultiYear_ProForma!$X$2:$X$61, MATCH(Scenarios!A7&amp;"|FY2028", MultiYear_ProForma!$AG$2:$AG$61, 0)))</f>
        <v>9648.4371396798142</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9766.8834008887588</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-2553410.7501925495</v>
      </c>
      <c r="L12" s="29">
        <f>SUMIFS(MultiYear_ProForma!$AF:$AF, MultiYear_ProForma!$B:$B, $B12, MultiYear_ProForma!$C:$C, "FY2030")</f>
        <v>-2720167.2772755567</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-2641079.4328862936</v>
      </c>
      <c r="N12" s="30" t="str">
        <f>Control_Center!B36</f>
        <v>Growth Hub @ Echo + Status-Quo Pima + Op Growth Targets</v>
      </c>
      <c r="O12" s="29">
        <f t="shared" si="0"/>
        <v>-1476639.4239017558</v>
      </c>
      <c r="P12" s="31">
        <f t="shared" si="1"/>
        <v>-667737.27635037526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10625.08535325</v>
      </c>
      <c r="D13" s="26">
        <f>INDEX(MultiYear_ProForma!$X$2:$X$61, MATCH(Scenarios!A6&amp;"|FY2030", MultiYear_ProForma!$AG$2:$AG$61, 0))</f>
        <v>11162.980299258277</v>
      </c>
      <c r="E13" s="26">
        <f>AVERAGE(INDEX(MultiYear_ProForma!$X$2:$X$61, MATCH(Scenarios!A6&amp;"|FY2026", MultiYear_ProForma!$AG$2:$AG$61, 0)),INDEX(MultiYear_ProForma!$X$2:$X$61, MATCH(Scenarios!A6&amp;"|FY2027", MultiYear_ProForma!$AG$2:$AG$61, 0)),INDEX(MultiYear_ProForma!$X$2:$X$61, MATCH(Scenarios!A6&amp;"|FY2028", MultiYear_ProForma!$AG$2:$AG$61, 0)))</f>
        <v>10368.043827749998</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10631.564853917906</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-2991486.7647472504</v>
      </c>
      <c r="L13" s="29">
        <f>SUMIFS(MultiYear_ProForma!$AF:$AF, MultiYear_ProForma!$B:$B, $B13, MultiYear_ProForma!$C:$C, "FY2030")</f>
        <v>-3172421.578291588</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-2993938.7867945535</v>
      </c>
      <c r="N13" s="30" t="str">
        <f>Control_Center!B35</f>
        <v>CUSTOM_KeepOpen_v2</v>
      </c>
      <c r="O13" s="29">
        <f t="shared" si="0"/>
        <v>-1928893.7249177871</v>
      </c>
      <c r="P13" s="31">
        <f t="shared" si="1"/>
        <v>-1020596.6302586352</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10625.08535325</v>
      </c>
      <c r="D14" s="33">
        <f>INDEX(MultiYear_ProForma!$X$2:$X$61, MATCH(Scenarios!A2&amp;"|FY2030", MultiYear_ProForma!$AG$2:$AG$61, 0))</f>
        <v>11162.980299258277</v>
      </c>
      <c r="E14" s="33">
        <f>AVERAGE(INDEX(MultiYear_ProForma!$X$2:$X$61, MATCH(Scenarios!A2&amp;"|FY2026", MultiYear_ProForma!$AG$2:$AG$61, 0)),INDEX(MultiYear_ProForma!$X$2:$X$61, MATCH(Scenarios!A2&amp;"|FY2027", MultiYear_ProForma!$AG$2:$AG$61, 0)),INDEX(MultiYear_ProForma!$X$2:$X$61, MATCH(Scenarios!A2&amp;"|FY2028", MultiYear_ProForma!$AG$2:$AG$61, 0)))</f>
        <v>10368.043827749998</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10631.564853917906</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-2991486.7647472504</v>
      </c>
      <c r="L14" s="35">
        <f>SUMIFS(MultiYear_ProForma!$AF:$AF, MultiYear_ProForma!$B:$B, $B14, MultiYear_ProForma!$C:$C, "FY2030")</f>
        <v>-3172421.578291588</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-2993938.7867945535</v>
      </c>
      <c r="N14" s="36" t="str">
        <f>Control_Center!B31</f>
        <v>CUSTOM_KeepOpen_v1</v>
      </c>
      <c r="O14" s="35">
        <f t="shared" si="0"/>
        <v>-1928893.7249177871</v>
      </c>
      <c r="P14" s="37">
        <f t="shared" si="1"/>
        <v>-1020596.6302586352</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sortState xmlns:xlrd2="http://schemas.microsoft.com/office/spreadsheetml/2017/richdata2" ref="B3:P14">
    <sortCondition descending="1" ref="P3:P14"/>
  </sortState>
  <pageMargins left="0.75" right="0.75" top="1" bottom="1" header="0.5" footer="0.5"/>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257</v>
      </c>
      <c r="C2" s="6" t="s">
        <v>311</v>
      </c>
      <c r="D2" s="6" t="s">
        <v>258</v>
      </c>
      <c r="E2" s="6" t="s">
        <v>259</v>
      </c>
      <c r="F2" s="7"/>
      <c r="G2" s="7"/>
    </row>
    <row r="3" spans="1:9" ht="221" x14ac:dyDescent="0.35">
      <c r="A3" s="7"/>
      <c r="B3" s="44" t="s">
        <v>312</v>
      </c>
      <c r="C3" s="45" t="s">
        <v>314</v>
      </c>
      <c r="D3" s="45" t="s">
        <v>315</v>
      </c>
      <c r="E3" s="45"/>
      <c r="F3" s="7"/>
      <c r="G3" s="7"/>
    </row>
    <row r="4" spans="1:9" ht="182" x14ac:dyDescent="0.35">
      <c r="A4" s="7"/>
      <c r="B4" s="44" t="s">
        <v>313</v>
      </c>
      <c r="C4" s="45" t="s">
        <v>316</v>
      </c>
      <c r="D4" s="45" t="s">
        <v>317</v>
      </c>
      <c r="E4" s="45"/>
      <c r="F4" s="7"/>
      <c r="G4" s="7"/>
    </row>
    <row r="5" spans="1:9" ht="130" x14ac:dyDescent="0.35">
      <c r="A5" s="7"/>
      <c r="B5" s="44" t="s">
        <v>260</v>
      </c>
      <c r="C5" s="45" t="s">
        <v>261</v>
      </c>
      <c r="D5" s="44" t="s">
        <v>341</v>
      </c>
      <c r="E5" s="45" t="s">
        <v>262</v>
      </c>
      <c r="F5" s="7"/>
      <c r="G5" s="7"/>
    </row>
    <row r="6" spans="1:9" ht="65" x14ac:dyDescent="0.35">
      <c r="A6" s="7"/>
      <c r="B6" s="44" t="s">
        <v>266</v>
      </c>
      <c r="C6" s="45" t="s">
        <v>267</v>
      </c>
      <c r="D6" s="45" t="s">
        <v>318</v>
      </c>
      <c r="E6" s="45" t="s">
        <v>289</v>
      </c>
      <c r="F6" s="7"/>
      <c r="G6" s="7"/>
    </row>
    <row r="7" spans="1:9" ht="52" x14ac:dyDescent="0.35">
      <c r="A7" s="7"/>
      <c r="B7" s="44" t="s">
        <v>268</v>
      </c>
      <c r="C7" s="45" t="s">
        <v>267</v>
      </c>
      <c r="D7" s="44" t="s">
        <v>319</v>
      </c>
      <c r="E7" s="45" t="s">
        <v>269</v>
      </c>
      <c r="F7" s="7"/>
      <c r="G7" s="7"/>
    </row>
    <row r="8" spans="1:9" ht="104" x14ac:dyDescent="0.35">
      <c r="A8" s="7"/>
      <c r="B8" s="44" t="s">
        <v>270</v>
      </c>
      <c r="C8" s="45" t="s">
        <v>271</v>
      </c>
      <c r="D8" s="46" t="s">
        <v>272</v>
      </c>
      <c r="E8" s="45" t="s">
        <v>290</v>
      </c>
      <c r="F8" s="7"/>
      <c r="G8" s="7"/>
    </row>
    <row r="9" spans="1:9" ht="145" x14ac:dyDescent="0.35">
      <c r="A9" s="7"/>
      <c r="B9" s="40" t="s">
        <v>339</v>
      </c>
      <c r="C9" s="39" t="s">
        <v>329</v>
      </c>
      <c r="D9" s="43" t="s">
        <v>334</v>
      </c>
      <c r="E9" s="45" t="s">
        <v>291</v>
      </c>
      <c r="F9" s="7"/>
      <c r="G9" s="7"/>
    </row>
    <row r="10" spans="1:9" x14ac:dyDescent="0.35">
      <c r="A10" s="7"/>
      <c r="B10" s="44" t="s">
        <v>324</v>
      </c>
      <c r="C10" s="48"/>
      <c r="D10" s="47"/>
      <c r="E10" s="48"/>
      <c r="F10" s="7"/>
      <c r="G10" s="7"/>
    </row>
    <row r="11" spans="1:9" x14ac:dyDescent="0.35">
      <c r="A11" s="7"/>
      <c r="B11" s="44" t="s">
        <v>325</v>
      </c>
      <c r="C11" s="48"/>
      <c r="D11" s="47"/>
      <c r="E11" s="48"/>
      <c r="F11" s="7"/>
      <c r="G11" s="7"/>
    </row>
    <row r="12" spans="1:9" ht="26" x14ac:dyDescent="0.35">
      <c r="A12" s="7"/>
      <c r="B12" s="44" t="s">
        <v>87</v>
      </c>
      <c r="C12" s="45" t="s">
        <v>320</v>
      </c>
      <c r="D12" s="45" t="s">
        <v>321</v>
      </c>
      <c r="E12" s="45"/>
      <c r="F12" s="7"/>
      <c r="G12" s="7"/>
    </row>
    <row r="13" spans="1:9" ht="52" x14ac:dyDescent="0.35">
      <c r="A13" s="7"/>
      <c r="B13" s="44" t="s">
        <v>273</v>
      </c>
      <c r="C13" s="45" t="s">
        <v>292</v>
      </c>
      <c r="D13" s="44" t="s">
        <v>293</v>
      </c>
      <c r="E13" s="45" t="s">
        <v>274</v>
      </c>
      <c r="F13" s="7"/>
      <c r="G13" s="7"/>
    </row>
    <row r="14" spans="1:9" ht="104" x14ac:dyDescent="0.35">
      <c r="A14" s="7"/>
      <c r="B14" s="44" t="s">
        <v>275</v>
      </c>
      <c r="C14" s="45" t="s">
        <v>294</v>
      </c>
      <c r="D14" s="47" t="s">
        <v>276</v>
      </c>
      <c r="E14" s="45" t="s">
        <v>295</v>
      </c>
      <c r="F14" s="7"/>
      <c r="G14" s="7"/>
    </row>
    <row r="15" spans="1:9" ht="391.5" x14ac:dyDescent="0.35">
      <c r="A15" s="7"/>
      <c r="B15" s="44" t="s">
        <v>277</v>
      </c>
      <c r="C15" s="45" t="s">
        <v>296</v>
      </c>
      <c r="D15" s="44" t="s">
        <v>297</v>
      </c>
      <c r="E15" s="45" t="s">
        <v>298</v>
      </c>
      <c r="F15" s="40" t="s">
        <v>335</v>
      </c>
      <c r="G15" s="39" t="s">
        <v>336</v>
      </c>
      <c r="H15" s="39" t="s">
        <v>337</v>
      </c>
      <c r="I15" s="39" t="s">
        <v>338</v>
      </c>
    </row>
    <row r="16" spans="1:9" ht="409.5" x14ac:dyDescent="0.35">
      <c r="A16" s="7"/>
      <c r="B16" s="44" t="s">
        <v>278</v>
      </c>
      <c r="C16" s="45" t="s">
        <v>299</v>
      </c>
      <c r="D16" s="47" t="s">
        <v>340</v>
      </c>
      <c r="E16" s="45" t="s">
        <v>300</v>
      </c>
      <c r="F16" s="7"/>
      <c r="G16" s="7"/>
    </row>
    <row r="17" spans="1:7" ht="65" x14ac:dyDescent="0.35">
      <c r="A17" s="7"/>
      <c r="B17" s="44" t="s">
        <v>279</v>
      </c>
      <c r="C17" s="45" t="s">
        <v>301</v>
      </c>
      <c r="D17" s="44" t="s">
        <v>302</v>
      </c>
      <c r="E17" s="45" t="s">
        <v>303</v>
      </c>
      <c r="F17" s="7"/>
      <c r="G17" s="7"/>
    </row>
    <row r="18" spans="1:7" ht="195" x14ac:dyDescent="0.35">
      <c r="A18" s="7"/>
      <c r="B18" s="44" t="s">
        <v>280</v>
      </c>
      <c r="C18" s="50" t="s">
        <v>328</v>
      </c>
      <c r="D18" s="44" t="s">
        <v>304</v>
      </c>
      <c r="E18" s="45" t="s">
        <v>281</v>
      </c>
      <c r="F18" s="7"/>
      <c r="G18" s="7"/>
    </row>
    <row r="19" spans="1:7" ht="91" x14ac:dyDescent="0.35">
      <c r="A19" s="7"/>
      <c r="B19" s="44" t="s">
        <v>322</v>
      </c>
      <c r="C19" s="48" t="s">
        <v>326</v>
      </c>
      <c r="D19" s="49"/>
      <c r="E19" s="48"/>
      <c r="F19" s="7"/>
      <c r="G19" s="7"/>
    </row>
    <row r="20" spans="1:7" ht="104" x14ac:dyDescent="0.35">
      <c r="A20" s="7"/>
      <c r="B20" s="44" t="s">
        <v>323</v>
      </c>
      <c r="C20" s="48" t="s">
        <v>327</v>
      </c>
      <c r="D20" s="49"/>
      <c r="E20" s="48"/>
      <c r="F20" s="7"/>
      <c r="G20" s="7"/>
    </row>
    <row r="21" spans="1:7" x14ac:dyDescent="0.35">
      <c r="A21" s="7"/>
      <c r="B21" s="44"/>
      <c r="C21" s="48"/>
      <c r="D21" s="49"/>
      <c r="E21" s="48"/>
      <c r="F21" s="7"/>
      <c r="G21" s="7"/>
    </row>
    <row r="22" spans="1:7" ht="39" x14ac:dyDescent="0.35">
      <c r="A22" s="7"/>
      <c r="B22" s="44" t="s">
        <v>282</v>
      </c>
      <c r="C22" s="45" t="s">
        <v>305</v>
      </c>
      <c r="D22" s="44" t="s">
        <v>306</v>
      </c>
      <c r="E22" s="45" t="s">
        <v>307</v>
      </c>
      <c r="F22" s="7" t="s">
        <v>256</v>
      </c>
      <c r="G22" s="7"/>
    </row>
    <row r="23" spans="1:7" ht="39" x14ac:dyDescent="0.35">
      <c r="A23" s="7"/>
      <c r="B23" s="44" t="s">
        <v>283</v>
      </c>
      <c r="C23" s="45" t="s">
        <v>284</v>
      </c>
      <c r="D23" s="45" t="s">
        <v>308</v>
      </c>
      <c r="E23" s="45" t="s">
        <v>309</v>
      </c>
      <c r="F23" s="7"/>
      <c r="G23" s="7"/>
    </row>
    <row r="24" spans="1:7" ht="52" x14ac:dyDescent="0.35">
      <c r="A24" s="7"/>
      <c r="B24" s="44" t="s">
        <v>285</v>
      </c>
      <c r="C24" s="45" t="s">
        <v>286</v>
      </c>
      <c r="D24" s="46" t="s">
        <v>287</v>
      </c>
      <c r="E24" s="45" t="s">
        <v>310</v>
      </c>
      <c r="F24" s="7"/>
      <c r="G24" s="7"/>
    </row>
    <row r="25" spans="1:7" ht="65" x14ac:dyDescent="0.35">
      <c r="A25" s="7"/>
      <c r="B25" s="44" t="s">
        <v>263</v>
      </c>
      <c r="C25" s="45" t="s">
        <v>264</v>
      </c>
      <c r="D25" s="46" t="s">
        <v>265</v>
      </c>
      <c r="E25" s="45" t="s">
        <v>288</v>
      </c>
      <c r="F25" s="7"/>
      <c r="G25" s="7"/>
    </row>
    <row r="26" spans="1:7" x14ac:dyDescent="0.35">
      <c r="A26" s="7"/>
      <c r="B26" s="44"/>
      <c r="C26" s="45"/>
      <c r="D26" s="46"/>
      <c r="E26" s="45"/>
      <c r="F26" s="7"/>
      <c r="G26" s="7"/>
    </row>
    <row r="27" spans="1:7" x14ac:dyDescent="0.35">
      <c r="A27" s="7"/>
      <c r="B27" s="44"/>
      <c r="C27" s="45"/>
      <c r="D27" s="46"/>
      <c r="E27" s="45"/>
      <c r="F27" s="7"/>
      <c r="G27" s="7"/>
    </row>
    <row r="28" spans="1:7" ht="29" x14ac:dyDescent="0.35">
      <c r="A28" s="7"/>
      <c r="B28" s="38" t="s">
        <v>330</v>
      </c>
      <c r="C28" s="38" t="s">
        <v>331</v>
      </c>
      <c r="D28" s="38" t="s">
        <v>332</v>
      </c>
      <c r="E28" s="38" t="s">
        <v>333</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x14ac:dyDescent="0.35">
      <c r="A32" s="7"/>
      <c r="B32" s="41" t="s">
        <v>204</v>
      </c>
      <c r="C32" s="41" t="s">
        <v>205</v>
      </c>
      <c r="D32" s="41" t="s">
        <v>206</v>
      </c>
      <c r="E32" s="41" t="s">
        <v>207</v>
      </c>
      <c r="F32" s="41" t="s">
        <v>208</v>
      </c>
      <c r="G32" s="7"/>
    </row>
    <row r="33" spans="1:9" ht="52" x14ac:dyDescent="0.35">
      <c r="A33" s="7"/>
      <c r="B33" s="41" t="s">
        <v>13</v>
      </c>
      <c r="C33" s="42" t="s">
        <v>209</v>
      </c>
      <c r="D33" s="42" t="s">
        <v>210</v>
      </c>
      <c r="E33" s="42" t="s">
        <v>211</v>
      </c>
      <c r="F33" s="42" t="s">
        <v>212</v>
      </c>
      <c r="G33" s="7"/>
      <c r="I33" s="42" t="s">
        <v>256</v>
      </c>
    </row>
    <row r="34" spans="1:9" ht="52" x14ac:dyDescent="0.35">
      <c r="A34" s="7"/>
      <c r="B34" s="41" t="s">
        <v>15</v>
      </c>
      <c r="C34" s="42" t="s">
        <v>213</v>
      </c>
      <c r="D34" s="42" t="s">
        <v>210</v>
      </c>
      <c r="E34" s="42" t="s">
        <v>214</v>
      </c>
      <c r="F34" s="42" t="s">
        <v>215</v>
      </c>
      <c r="G34" s="15" t="s">
        <v>253</v>
      </c>
    </row>
    <row r="35" spans="1:9" ht="26" x14ac:dyDescent="0.35">
      <c r="A35" s="7"/>
      <c r="B35" s="41" t="s">
        <v>37</v>
      </c>
      <c r="C35" s="42" t="s">
        <v>216</v>
      </c>
      <c r="D35" s="42" t="s">
        <v>210</v>
      </c>
      <c r="E35" s="42" t="s">
        <v>217</v>
      </c>
      <c r="F35" s="42" t="s">
        <v>218</v>
      </c>
      <c r="G35" s="7"/>
    </row>
    <row r="36" spans="1:9" ht="26" x14ac:dyDescent="0.35">
      <c r="A36" s="7"/>
      <c r="B36" s="41" t="s">
        <v>11</v>
      </c>
      <c r="C36" s="42" t="s">
        <v>219</v>
      </c>
      <c r="D36" s="42" t="s">
        <v>210</v>
      </c>
      <c r="E36" s="42" t="s">
        <v>220</v>
      </c>
      <c r="F36" s="42" t="s">
        <v>221</v>
      </c>
      <c r="G36" s="7"/>
    </row>
    <row r="37" spans="1:9" ht="26" x14ac:dyDescent="0.35">
      <c r="A37" s="7"/>
      <c r="B37" s="41" t="s">
        <v>222</v>
      </c>
      <c r="C37" s="42" t="s">
        <v>223</v>
      </c>
      <c r="D37" s="42" t="s">
        <v>210</v>
      </c>
      <c r="E37" s="42" t="s">
        <v>224</v>
      </c>
      <c r="F37" s="42" t="s">
        <v>225</v>
      </c>
      <c r="G37" s="7"/>
    </row>
    <row r="38" spans="1:9" ht="26" x14ac:dyDescent="0.35">
      <c r="A38" s="7"/>
      <c r="B38" s="41" t="s">
        <v>226</v>
      </c>
      <c r="C38" s="42" t="s">
        <v>227</v>
      </c>
      <c r="D38" s="42" t="s">
        <v>228</v>
      </c>
      <c r="E38" s="42" t="s">
        <v>229</v>
      </c>
      <c r="F38" s="42" t="s">
        <v>218</v>
      </c>
      <c r="G38" s="7"/>
    </row>
    <row r="39" spans="1:9" ht="52" x14ac:dyDescent="0.35">
      <c r="A39" s="7"/>
      <c r="B39" s="41" t="s">
        <v>230</v>
      </c>
      <c r="C39" s="42" t="s">
        <v>231</v>
      </c>
      <c r="D39" s="42" t="s">
        <v>228</v>
      </c>
      <c r="E39" s="42" t="s">
        <v>252</v>
      </c>
      <c r="F39" s="42" t="s">
        <v>232</v>
      </c>
      <c r="G39" s="7"/>
    </row>
    <row r="40" spans="1:9" ht="26" x14ac:dyDescent="0.35">
      <c r="A40" s="7"/>
      <c r="B40" s="41" t="s">
        <v>233</v>
      </c>
      <c r="C40" s="42" t="s">
        <v>234</v>
      </c>
      <c r="D40" s="42" t="s">
        <v>228</v>
      </c>
      <c r="E40" s="42" t="s">
        <v>235</v>
      </c>
      <c r="F40" s="42" t="s">
        <v>236</v>
      </c>
      <c r="G40" s="7"/>
    </row>
    <row r="41" spans="1:9" ht="26" x14ac:dyDescent="0.35">
      <c r="A41" s="7"/>
      <c r="B41" s="41" t="s">
        <v>237</v>
      </c>
      <c r="C41" s="42" t="s">
        <v>238</v>
      </c>
      <c r="D41" s="42" t="s">
        <v>228</v>
      </c>
      <c r="E41" s="42" t="s">
        <v>239</v>
      </c>
      <c r="F41" s="42" t="s">
        <v>240</v>
      </c>
      <c r="G41" s="7"/>
    </row>
    <row r="42" spans="1:9" ht="26" x14ac:dyDescent="0.35">
      <c r="A42" s="7"/>
      <c r="B42" s="41" t="s">
        <v>241</v>
      </c>
      <c r="C42" s="42" t="s">
        <v>242</v>
      </c>
      <c r="D42" s="42" t="s">
        <v>228</v>
      </c>
      <c r="E42" s="42" t="s">
        <v>243</v>
      </c>
      <c r="F42" s="42" t="s">
        <v>244</v>
      </c>
      <c r="G42" s="7"/>
    </row>
    <row r="43" spans="1:9" ht="26" x14ac:dyDescent="0.35">
      <c r="A43" s="7"/>
      <c r="B43" s="41" t="s">
        <v>139</v>
      </c>
      <c r="C43" s="42" t="s">
        <v>254</v>
      </c>
      <c r="D43" s="42" t="s">
        <v>255</v>
      </c>
      <c r="E43" s="42" t="s">
        <v>245</v>
      </c>
      <c r="F43" s="42" t="s">
        <v>246</v>
      </c>
      <c r="G43" s="7"/>
    </row>
    <row r="44" spans="1:9" ht="39" x14ac:dyDescent="0.35">
      <c r="A44" s="7"/>
      <c r="B44" s="41" t="s">
        <v>247</v>
      </c>
      <c r="C44" s="42" t="s">
        <v>248</v>
      </c>
      <c r="D44" s="42" t="s">
        <v>249</v>
      </c>
      <c r="E44" s="42" t="s">
        <v>250</v>
      </c>
      <c r="F44" s="42" t="s">
        <v>251</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25" r:id="rId1" tooltip="Bill Text: AZ HB2969 | 2025 | Fifty-seventh Legislature 1st ..." display="https://legiscan.com/AZ/text/HB2969/2025?utm_source=chatgpt.com" xr:uid="{E077C703-6A2C-423D-A1D0-6F4EB97B460B}"/>
    <hyperlink ref="D8" r:id="rId2" tooltip="Microsoft Word - FS ACFR FY24 Scottsdale USD" display="https://www.susd.org/fs/resource-manager/view/01a0856f-3a75-4ceb-9e90-02f85099b68d" xr:uid="{83870F51-F19F-495E-AA94-D79AE84AE1FA}"/>
    <hyperlink ref="D14" r:id="rId3" tooltip="List Of Groups - Sun Devil Central - Arizona State University" display="https://sundevilcentral.eoss.asu.edu/club_signup?category_tags=6551555&amp;group_type=&amp;view=all&amp;utm_source=chatgpt.com" xr:uid="{83E1EC67-1012-4BB6-9EBA-63CB772D0C41}"/>
    <hyperlink ref="D16" r:id="rId4" tooltip="School Closings in Chicago" display="https://consortium.uchicago.edu/publications/school-closings-chicago-staff-and-student-experiences-and-academic-outcomes?utm_source=chatgpt.com" xr:uid="{F18F5D29-F4D7-4911-97DF-9CFBB42B08F1}"/>
    <hyperlink ref="D24" r:id="rId5" tooltip="School Finance Data Processing for Kindergarten Students" display="https://ade.az.gov/schoolfinance/STaR/SAISInfoSeries/SIS16.pdf?utm_source=chatgpt.com" xr:uid="{DF31BD7B-4744-450F-A12B-98F407B38D4B}"/>
    <hyperlink ref="D9" r:id="rId6" tooltip="sdspending.azauditor.gov" display="https://sdspending.azauditor.gov/" xr:uid="{27660D7D-510B-4F51-A7D0-2B614F5A821C}"/>
  </hyperlink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193D-0672-4185-BC5B-83D2DD89BCA5}">
  <dimension ref="A1"/>
  <sheetViews>
    <sheetView topLeftCell="A52" workbookViewId="0">
      <selection activeCell="L13" sqref="L13"/>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61"/>
  <sheetViews>
    <sheetView zoomScale="60" zoomScaleNormal="60" workbookViewId="0">
      <pane xSplit="2" ySplit="1" topLeftCell="D2" activePane="bottomRight" state="frozen"/>
      <selection activeCell="B2" sqref="B2"/>
      <selection pane="topRight" activeCell="B2" sqref="B2"/>
      <selection pane="bottomLeft" activeCell="B2" sqref="B2"/>
      <selection pane="bottomRight" activeCell="H52" sqref="H5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59</v>
      </c>
      <c r="C1" s="1" t="s">
        <v>2</v>
      </c>
      <c r="D1" s="1" t="s">
        <v>60</v>
      </c>
      <c r="E1" s="1" t="s">
        <v>61</v>
      </c>
      <c r="F1" s="1" t="s">
        <v>62</v>
      </c>
      <c r="G1" s="1" t="s">
        <v>51</v>
      </c>
      <c r="H1" s="1" t="s">
        <v>52</v>
      </c>
      <c r="I1" s="1" t="s">
        <v>53</v>
      </c>
      <c r="J1" s="1" t="s">
        <v>63</v>
      </c>
      <c r="K1" s="1" t="s">
        <v>64</v>
      </c>
      <c r="L1" s="1" t="s">
        <v>65</v>
      </c>
      <c r="M1" s="1" t="s">
        <v>66</v>
      </c>
      <c r="N1" s="1" t="s">
        <v>67</v>
      </c>
      <c r="O1" s="1" t="s">
        <v>68</v>
      </c>
      <c r="P1" s="1" t="s">
        <v>54</v>
      </c>
      <c r="Q1" s="1" t="s">
        <v>69</v>
      </c>
      <c r="R1" s="1" t="s">
        <v>70</v>
      </c>
      <c r="S1" s="1" t="s">
        <v>71</v>
      </c>
      <c r="T1" s="1" t="s">
        <v>72</v>
      </c>
      <c r="U1" s="1" t="s">
        <v>73</v>
      </c>
      <c r="V1" s="1" t="s">
        <v>74</v>
      </c>
      <c r="W1" s="1" t="s">
        <v>75</v>
      </c>
      <c r="X1" s="1" t="s">
        <v>76</v>
      </c>
      <c r="Y1" t="s">
        <v>78</v>
      </c>
      <c r="Z1" t="s">
        <v>79</v>
      </c>
      <c r="AA1" t="s">
        <v>80</v>
      </c>
      <c r="AB1" t="s">
        <v>81</v>
      </c>
      <c r="AC1" t="s">
        <v>82</v>
      </c>
      <c r="AD1" t="s">
        <v>83</v>
      </c>
      <c r="AE1" t="s">
        <v>84</v>
      </c>
      <c r="AF1" t="s">
        <v>85</v>
      </c>
      <c r="AG1" s="1" t="s">
        <v>77</v>
      </c>
    </row>
    <row r="2" spans="1:33" x14ac:dyDescent="0.35">
      <c r="A2" t="str">
        <f t="shared" si="0"/>
        <v>D_CUSTOM1|FY2026</v>
      </c>
      <c r="B2" t="str">
        <f>Scenarios!A2</f>
        <v>D_CUSTOM1</v>
      </c>
      <c r="C2" t="s">
        <v>3</v>
      </c>
      <c r="D2">
        <f>IF(Scenarios!D2=1,0, L2)</f>
        <v>257</v>
      </c>
      <c r="E2">
        <f>IF(Scenarios!E2=1,0, M2)</f>
        <v>296</v>
      </c>
      <c r="F2">
        <f t="shared" ref="F2:F33" si="1">D2+E2</f>
        <v>553</v>
      </c>
      <c r="G2" s="2">
        <f>YearMap!B2</f>
        <v>5499.5759999999991</v>
      </c>
      <c r="H2" s="2">
        <f>YearMap!C2</f>
        <v>1203999.7679999999</v>
      </c>
      <c r="I2" s="2">
        <f>YearMap!D2</f>
        <v>1386707.9039999999</v>
      </c>
      <c r="J2">
        <f>1-BaselineCalc!$B$5</f>
        <v>0.99299999999999999</v>
      </c>
      <c r="K2">
        <f>Scenarios!G2</f>
        <v>0</v>
      </c>
      <c r="L2">
        <f>BaselineCalc!$B$7 + ROUND(Scenarios!I2*Scenarios!F2,0)</f>
        <v>257</v>
      </c>
      <c r="M2">
        <f>BaselineCalc!$B$8 + Scenarios!I2 - ROUND(Scenarios!I2*Scenarios!F2,0)</f>
        <v>296</v>
      </c>
      <c r="N2" s="11">
        <f t="shared" ref="N2:N33" si="2">(L2-D2) + (M2-E2)</f>
        <v>0</v>
      </c>
      <c r="O2" s="11">
        <f>BaselineCalc!$B$23 * N2</f>
        <v>0</v>
      </c>
      <c r="P2">
        <f>YearMap!E2</f>
        <v>1000</v>
      </c>
      <c r="Q2">
        <f>IF(Scenarios!N2="lease", YearMap!F2, YearMap!G2)</f>
        <v>0.5</v>
      </c>
      <c r="R2" s="2">
        <f>IF(Scenarios!D2=1, Q2*H2, H2)</f>
        <v>1203999.7679999999</v>
      </c>
      <c r="S2" s="2">
        <f>IF(Scenarios!E2=1, Q2*I2, I2)</f>
        <v>1386707.9039999999</v>
      </c>
      <c r="T2" s="2">
        <f>IF(C2="FY2026", (Scenarios!D2+Scenarios!E2)*BaselineCalc!$B$22, 0)</f>
        <v>0</v>
      </c>
      <c r="U2" s="2">
        <f t="shared" ref="U2:U33" si="3">(R2+S2+G2*F2)*J2*(1-K2)</f>
        <v>5592549.3875999991</v>
      </c>
      <c r="V2" s="2">
        <f t="shared" ref="V2:V33" si="4">O2*(G2+P2)</f>
        <v>0</v>
      </c>
      <c r="W2" s="2">
        <f t="shared" ref="W2:W33" si="5">U2+V2+T2</f>
        <v>5592549.3875999991</v>
      </c>
      <c r="X2" s="2">
        <f t="shared" ref="X2:X33" si="6">IF(F2+O2&gt;0, W2/(F2+O2),"")</f>
        <v>10113.109199999999</v>
      </c>
      <c r="Y2" s="2">
        <f>INDEX(YearMap!$I$2:$I$6, MATCH(C2, YearMap!$A$2:$A$6, 0))</f>
        <v>5013</v>
      </c>
      <c r="Z2" s="2">
        <f t="shared" ref="Z2:Z33" si="7">$W2-$Y2*$AC2</f>
        <v>2820360.3875999991</v>
      </c>
      <c r="AA2" s="2">
        <f t="shared" ref="AA2:AA33" si="8">IF($AC2&gt;0, $Z2/$AC2, 0)</f>
        <v>5100.1091999999981</v>
      </c>
      <c r="AB2">
        <f>MAX(0, (MAX(0, $D2-BaselineCalc!$B$7) + MAX(0, $E2-BaselineCalc!$B$8)))</f>
        <v>0</v>
      </c>
      <c r="AC2">
        <f t="shared" ref="AC2:AC33" si="9">IF(LEFT($B2,2)="A_", $O2, IF(LEFT($B2,2)="B_", $M2+$O2, IF(LEFT($B2,2)="C_", $L2+$O2, $F2)))</f>
        <v>553</v>
      </c>
      <c r="AD2" s="2">
        <f t="shared" ref="AD2:AD33" si="10">$Y2*$AC2</f>
        <v>2772189</v>
      </c>
      <c r="AE2" s="2">
        <f>W2 - (1-Other_Parameters!$B$2)*$G2*$AB2*$J2*(1-$K2)</f>
        <v>5592549.3875999991</v>
      </c>
      <c r="AF2" s="2">
        <f t="shared" ref="AF2:AF33" si="11">AD2-AE2</f>
        <v>-2820360.3875999991</v>
      </c>
      <c r="AG2" t="str">
        <f t="shared" ref="AG2:AG33" si="12">B2&amp;"|"&amp;C2</f>
        <v>D_CUSTOM1|FY2026</v>
      </c>
    </row>
    <row r="3" spans="1:33" x14ac:dyDescent="0.35">
      <c r="A3" t="str">
        <f t="shared" si="0"/>
        <v>D_CUSTOM1|FY2027</v>
      </c>
      <c r="B3" t="str">
        <f>Scenarios!A2</f>
        <v>D_CUSTOM1</v>
      </c>
      <c r="C3" t="s">
        <v>4</v>
      </c>
      <c r="D3">
        <f>IF(Scenarios!D2=1,0, L3)</f>
        <v>257</v>
      </c>
      <c r="E3">
        <f>IF(Scenarios!E2=1,0, M3)</f>
        <v>296</v>
      </c>
      <c r="F3">
        <f t="shared" si="1"/>
        <v>553</v>
      </c>
      <c r="G3" s="2">
        <f>YearMap!B3</f>
        <v>5637.0653999999995</v>
      </c>
      <c r="H3" s="2">
        <f>YearMap!C3</f>
        <v>1234099.7622</v>
      </c>
      <c r="I3" s="2">
        <f>YearMap!D3</f>
        <v>1421375.6015999999</v>
      </c>
      <c r="J3">
        <f>1-BaselineCalc!$B$5</f>
        <v>0.99299999999999999</v>
      </c>
      <c r="K3">
        <f>Scenarios!G2</f>
        <v>0</v>
      </c>
      <c r="L3">
        <f>BaselineCalc!$B$7 + ROUND(Scenarios!J2*Scenarios!F2,0)</f>
        <v>257</v>
      </c>
      <c r="M3">
        <f>BaselineCalc!$B$8 + Scenarios!J2 - ROUND(Scenarios!J2*Scenarios!F2,0)</f>
        <v>296</v>
      </c>
      <c r="N3" s="11">
        <f t="shared" si="2"/>
        <v>0</v>
      </c>
      <c r="O3" s="11">
        <f>BaselineCalc!$B$23 * N3</f>
        <v>0</v>
      </c>
      <c r="P3">
        <f>YearMap!E3</f>
        <v>800</v>
      </c>
      <c r="Q3">
        <f>IF(Scenarios!N2="lease", YearMap!F3, YearMap!G3)</f>
        <v>0.4</v>
      </c>
      <c r="R3" s="2">
        <f>IF(Scenarios!D2=1, Q3*H3, H3)</f>
        <v>1234099.7622</v>
      </c>
      <c r="S3" s="2">
        <f>IF(Scenarios!E2=1, Q3*I3, I3)</f>
        <v>1421375.6015999999</v>
      </c>
      <c r="T3" s="2">
        <f>IF(C3="FY2026", (Scenarios!D2+Scenarios!E2)*BaselineCalc!$B$22, 0)</f>
        <v>0</v>
      </c>
      <c r="U3" s="2">
        <f t="shared" si="3"/>
        <v>5732363.1222899994</v>
      </c>
      <c r="V3" s="2">
        <f t="shared" si="4"/>
        <v>0</v>
      </c>
      <c r="W3" s="2">
        <f t="shared" si="5"/>
        <v>5732363.1222899994</v>
      </c>
      <c r="X3" s="2">
        <f t="shared" si="6"/>
        <v>10365.936929999998</v>
      </c>
      <c r="Y3" s="2">
        <f>INDEX(YearMap!$I$2:$I$6, MATCH(C3, YearMap!$A$2:$A$6, 0))</f>
        <v>5113.26</v>
      </c>
      <c r="Z3" s="2">
        <f t="shared" si="7"/>
        <v>2904730.3422899991</v>
      </c>
      <c r="AA3" s="2">
        <f t="shared" si="8"/>
        <v>5252.6769299999987</v>
      </c>
      <c r="AB3">
        <f>MAX(0, (MAX(0, $D3-BaselineCalc!$B$7) + MAX(0, $E3-BaselineCalc!$B$8)))</f>
        <v>0</v>
      </c>
      <c r="AC3">
        <f t="shared" si="9"/>
        <v>553</v>
      </c>
      <c r="AD3" s="2">
        <f t="shared" si="10"/>
        <v>2827632.7800000003</v>
      </c>
      <c r="AE3" s="2">
        <f>W3 - (1-Other_Parameters!$B$2)*$G3*$AB3*$J3*(1-$K3)</f>
        <v>5732363.1222899994</v>
      </c>
      <c r="AF3" s="2">
        <f t="shared" si="11"/>
        <v>-2904730.3422899991</v>
      </c>
      <c r="AG3" t="str">
        <f t="shared" si="12"/>
        <v>D_CUSTOM1|FY2027</v>
      </c>
    </row>
    <row r="4" spans="1:33" x14ac:dyDescent="0.35">
      <c r="A4" t="str">
        <f t="shared" si="0"/>
        <v>D_CUSTOM1|FY2028</v>
      </c>
      <c r="B4" t="str">
        <f>Scenarios!A2</f>
        <v>D_CUSTOM1</v>
      </c>
      <c r="C4" t="s">
        <v>5</v>
      </c>
      <c r="D4">
        <f>IF(Scenarios!D2=1,0, L4)</f>
        <v>257</v>
      </c>
      <c r="E4">
        <f>IF(Scenarios!E2=1,0, M4)</f>
        <v>296</v>
      </c>
      <c r="F4">
        <f t="shared" si="1"/>
        <v>553</v>
      </c>
      <c r="G4" s="2">
        <f>YearMap!B4</f>
        <v>5777.9920349999993</v>
      </c>
      <c r="H4" s="2">
        <f>YearMap!C4</f>
        <v>1264952.2562550001</v>
      </c>
      <c r="I4" s="2">
        <f>YearMap!D4</f>
        <v>1456909.9916400001</v>
      </c>
      <c r="J4">
        <f>1-BaselineCalc!$B$5</f>
        <v>0.99299999999999999</v>
      </c>
      <c r="K4">
        <f>Scenarios!G2</f>
        <v>0</v>
      </c>
      <c r="L4">
        <f>BaselineCalc!$B$7 + ROUND(Scenarios!K2*Scenarios!F2,0)</f>
        <v>257</v>
      </c>
      <c r="M4">
        <f>BaselineCalc!$B$8 + Scenarios!K2 - ROUND(Scenarios!K2*Scenarios!F2,0)</f>
        <v>296</v>
      </c>
      <c r="N4" s="11">
        <f t="shared" si="2"/>
        <v>0</v>
      </c>
      <c r="O4" s="11">
        <f>BaselineCalc!$B$23 * N4</f>
        <v>0</v>
      </c>
      <c r="P4">
        <f>YearMap!E4</f>
        <v>600</v>
      </c>
      <c r="Q4">
        <f>IF(Scenarios!N2="lease", YearMap!F4, YearMap!G4)</f>
        <v>0.35</v>
      </c>
      <c r="R4" s="2">
        <f>IF(Scenarios!D2=1, Q4*H4, H4)</f>
        <v>1264952.2562550001</v>
      </c>
      <c r="S4" s="2">
        <f>IF(Scenarios!E2=1, Q4*I4, I4)</f>
        <v>1456909.9916400001</v>
      </c>
      <c r="T4" s="2">
        <f>IF(C4="FY2026", (Scenarios!D2+Scenarios!E2)*BaselineCalc!$B$22, 0)</f>
        <v>0</v>
      </c>
      <c r="U4" s="2">
        <f t="shared" si="3"/>
        <v>5875672.2003472503</v>
      </c>
      <c r="V4" s="2">
        <f t="shared" si="4"/>
        <v>0</v>
      </c>
      <c r="W4" s="2">
        <f t="shared" si="5"/>
        <v>5875672.2003472503</v>
      </c>
      <c r="X4" s="2">
        <f t="shared" si="6"/>
        <v>10625.08535325</v>
      </c>
      <c r="Y4" s="2">
        <f>INDEX(YearMap!$I$2:$I$6, MATCH(C4, YearMap!$A$2:$A$6, 0))</f>
        <v>5215.5252</v>
      </c>
      <c r="Z4" s="2">
        <f t="shared" si="7"/>
        <v>2991486.7647472504</v>
      </c>
      <c r="AA4" s="2">
        <f t="shared" si="8"/>
        <v>5409.5601532500004</v>
      </c>
      <c r="AB4">
        <f>MAX(0, (MAX(0, $D4-BaselineCalc!$B$7) + MAX(0, $E4-BaselineCalc!$B$8)))</f>
        <v>0</v>
      </c>
      <c r="AC4">
        <f t="shared" si="9"/>
        <v>553</v>
      </c>
      <c r="AD4" s="2">
        <f t="shared" si="10"/>
        <v>2884185.4356</v>
      </c>
      <c r="AE4" s="2">
        <f>W4 - (1-Other_Parameters!$B$2)*$G4*$AB4*$J4*(1-$K4)</f>
        <v>5875672.2003472503</v>
      </c>
      <c r="AF4" s="2">
        <f t="shared" si="11"/>
        <v>-2991486.7647472504</v>
      </c>
      <c r="AG4" t="str">
        <f t="shared" si="12"/>
        <v>D_CUSTOM1|FY2028</v>
      </c>
    </row>
    <row r="5" spans="1:33" x14ac:dyDescent="0.35">
      <c r="A5" t="str">
        <f t="shared" si="0"/>
        <v>D_CUSTOM1|FY2029</v>
      </c>
      <c r="B5" t="str">
        <f>Scenarios!A2</f>
        <v>D_CUSTOM1</v>
      </c>
      <c r="C5" t="s">
        <v>6</v>
      </c>
      <c r="D5">
        <f>IF(Scenarios!D2=1,0, L5)</f>
        <v>257</v>
      </c>
      <c r="E5">
        <f>IF(Scenarios!E2=1,0, M5)</f>
        <v>296</v>
      </c>
      <c r="F5">
        <f t="shared" si="1"/>
        <v>553</v>
      </c>
      <c r="G5" s="2">
        <f>YearMap!B5</f>
        <v>5922.4418358749981</v>
      </c>
      <c r="H5" s="2">
        <f>YearMap!C5</f>
        <v>1296576.0626613749</v>
      </c>
      <c r="I5" s="2">
        <f>YearMap!D5</f>
        <v>1493332.7414309999</v>
      </c>
      <c r="J5">
        <f>1-BaselineCalc!$B$5</f>
        <v>0.99299999999999999</v>
      </c>
      <c r="K5">
        <f>Scenarios!G2</f>
        <v>0</v>
      </c>
      <c r="L5">
        <f>BaselineCalc!$B$7 + ROUND(Scenarios!L2*Scenarios!F2,0)</f>
        <v>257</v>
      </c>
      <c r="M5">
        <f>BaselineCalc!$B$8 + Scenarios!L2 - ROUND(Scenarios!L2*Scenarios!F2,0)</f>
        <v>296</v>
      </c>
      <c r="N5" s="11">
        <f t="shared" si="2"/>
        <v>0</v>
      </c>
      <c r="O5" s="11">
        <f>BaselineCalc!$B$23 * N5</f>
        <v>0</v>
      </c>
      <c r="P5">
        <f>YearMap!E5</f>
        <v>500</v>
      </c>
      <c r="Q5">
        <f>IF(Scenarios!N2="lease", YearMap!F5, YearMap!G5)</f>
        <v>0.3</v>
      </c>
      <c r="R5" s="2">
        <f>IF(Scenarios!D2=1, Q5*H5, H5)</f>
        <v>1296576.0626613749</v>
      </c>
      <c r="S5" s="2">
        <f>IF(Scenarios!E2=1, Q5*I5, I5)</f>
        <v>1493332.7414309999</v>
      </c>
      <c r="T5" s="2">
        <f>IF(C5="FY2026", (Scenarios!D2+Scenarios!E2)*BaselineCalc!$B$22, 0)</f>
        <v>0</v>
      </c>
      <c r="U5" s="2">
        <f t="shared" si="3"/>
        <v>6022564.00535593</v>
      </c>
      <c r="V5" s="2">
        <f t="shared" si="4"/>
        <v>0</v>
      </c>
      <c r="W5" s="2">
        <f t="shared" si="5"/>
        <v>6022564.00535593</v>
      </c>
      <c r="X5" s="2">
        <f t="shared" si="6"/>
        <v>10890.712487081248</v>
      </c>
      <c r="Y5" s="2">
        <f>INDEX(YearMap!$I$2:$I$6, MATCH(C5, YearMap!$A$2:$A$6, 0))</f>
        <v>5319.8357040000001</v>
      </c>
      <c r="Z5" s="2">
        <f t="shared" si="7"/>
        <v>3080694.8610439301</v>
      </c>
      <c r="AA5" s="2">
        <f t="shared" si="8"/>
        <v>5570.8767830812476</v>
      </c>
      <c r="AB5">
        <f>MAX(0, (MAX(0, $D5-BaselineCalc!$B$7) + MAX(0, $E5-BaselineCalc!$B$8)))</f>
        <v>0</v>
      </c>
      <c r="AC5">
        <f t="shared" si="9"/>
        <v>553</v>
      </c>
      <c r="AD5" s="2">
        <f t="shared" si="10"/>
        <v>2941869.1443119999</v>
      </c>
      <c r="AE5" s="2">
        <f>W5 - (1-Other_Parameters!$B$2)*$G5*$AB5*$J5*(1-$K5)</f>
        <v>6022564.00535593</v>
      </c>
      <c r="AF5" s="2">
        <f t="shared" si="11"/>
        <v>-3080694.8610439301</v>
      </c>
      <c r="AG5" t="str">
        <f t="shared" si="12"/>
        <v>D_CUSTOM1|FY2029</v>
      </c>
    </row>
    <row r="6" spans="1:33" x14ac:dyDescent="0.35">
      <c r="A6" t="str">
        <f t="shared" si="0"/>
        <v>D_CUSTOM1|FY2030</v>
      </c>
      <c r="B6" t="str">
        <f>Scenarios!A2</f>
        <v>D_CUSTOM1</v>
      </c>
      <c r="C6" t="s">
        <v>7</v>
      </c>
      <c r="D6">
        <f>IF(Scenarios!D2=1,0, L6)</f>
        <v>257</v>
      </c>
      <c r="E6">
        <f>IF(Scenarios!E2=1,0, M6)</f>
        <v>296</v>
      </c>
      <c r="F6">
        <f t="shared" si="1"/>
        <v>553</v>
      </c>
      <c r="G6" s="2">
        <f>YearMap!B6</f>
        <v>6070.502881771873</v>
      </c>
      <c r="H6" s="2">
        <f>YearMap!C6</f>
        <v>1328990.4642279092</v>
      </c>
      <c r="I6" s="2">
        <f>YearMap!D6</f>
        <v>1530666.0599667749</v>
      </c>
      <c r="J6">
        <f>1-BaselineCalc!$B$5</f>
        <v>0.99299999999999999</v>
      </c>
      <c r="K6">
        <f>Scenarios!G2</f>
        <v>0</v>
      </c>
      <c r="L6">
        <f>BaselineCalc!$B$7 + ROUND(Scenarios!M2*Scenarios!F2,0)</f>
        <v>257</v>
      </c>
      <c r="M6">
        <f>BaselineCalc!$B$8 + Scenarios!M2 - ROUND(Scenarios!M2*Scenarios!F2,0)</f>
        <v>296</v>
      </c>
      <c r="N6" s="11">
        <f t="shared" si="2"/>
        <v>0</v>
      </c>
      <c r="O6" s="11">
        <f>BaselineCalc!$B$23 * N6</f>
        <v>0</v>
      </c>
      <c r="P6">
        <f>YearMap!E6</f>
        <v>300</v>
      </c>
      <c r="Q6">
        <f>IF(Scenarios!N2="lease", YearMap!F6, YearMap!G6)</f>
        <v>0.3</v>
      </c>
      <c r="R6" s="2">
        <f>IF(Scenarios!D2=1, Q6*H6, H6)</f>
        <v>1328990.4642279092</v>
      </c>
      <c r="S6" s="2">
        <f>IF(Scenarios!E2=1, Q6*I6, I6)</f>
        <v>1530666.0599667749</v>
      </c>
      <c r="T6" s="2">
        <f>IF(C6="FY2026", (Scenarios!D2+Scenarios!E2)*BaselineCalc!$B$22, 0)</f>
        <v>0</v>
      </c>
      <c r="U6" s="2">
        <f t="shared" si="3"/>
        <v>6173128.1054898277</v>
      </c>
      <c r="V6" s="2">
        <f t="shared" si="4"/>
        <v>0</v>
      </c>
      <c r="W6" s="2">
        <f t="shared" si="5"/>
        <v>6173128.1054898277</v>
      </c>
      <c r="X6" s="2">
        <f t="shared" si="6"/>
        <v>11162.980299258277</v>
      </c>
      <c r="Y6" s="2">
        <f>INDEX(YearMap!$I$2:$I$6, MATCH(C6, YearMap!$A$2:$A$6, 0))</f>
        <v>5426.2324180799997</v>
      </c>
      <c r="Z6" s="2">
        <f t="shared" si="7"/>
        <v>3172421.578291588</v>
      </c>
      <c r="AA6" s="2">
        <f t="shared" si="8"/>
        <v>5736.7478811782785</v>
      </c>
      <c r="AB6">
        <f>MAX(0, (MAX(0, $D6-BaselineCalc!$B$7) + MAX(0, $E6-BaselineCalc!$B$8)))</f>
        <v>0</v>
      </c>
      <c r="AC6">
        <f t="shared" si="9"/>
        <v>553</v>
      </c>
      <c r="AD6" s="2">
        <f t="shared" si="10"/>
        <v>3000706.5271982397</v>
      </c>
      <c r="AE6" s="2">
        <f>W6 - (1-Other_Parameters!$B$2)*$G6*$AB6*$J6*(1-$K6)</f>
        <v>6173128.1054898277</v>
      </c>
      <c r="AF6" s="2">
        <f t="shared" si="11"/>
        <v>-3172421.578291588</v>
      </c>
      <c r="AG6" t="str">
        <f t="shared" si="12"/>
        <v>D_CUSTOM1|FY2030</v>
      </c>
    </row>
    <row r="7" spans="1:33" x14ac:dyDescent="0.35">
      <c r="A7" t="str">
        <f t="shared" si="0"/>
        <v>E_StatusQuo_Targets|FY2026</v>
      </c>
      <c r="B7" t="str">
        <f>Scenarios!A3</f>
        <v>E_StatusQuo_Targets</v>
      </c>
      <c r="C7" t="s">
        <v>3</v>
      </c>
      <c r="D7">
        <f>IF(Scenarios!D3=1,0, L7)</f>
        <v>332</v>
      </c>
      <c r="E7">
        <f>IF(Scenarios!E3=1,0, M7)</f>
        <v>371</v>
      </c>
      <c r="F7">
        <f t="shared" si="1"/>
        <v>703</v>
      </c>
      <c r="G7" s="2">
        <f>YearMap!B2</f>
        <v>5499.5759999999991</v>
      </c>
      <c r="H7" s="2">
        <f>YearMap!C2</f>
        <v>1203999.7679999999</v>
      </c>
      <c r="I7" s="2">
        <f>YearMap!D2</f>
        <v>1386707.9039999999</v>
      </c>
      <c r="J7">
        <f>1-BaselineCalc!$B$5</f>
        <v>0.99299999999999999</v>
      </c>
      <c r="K7">
        <f>Scenarios!G3</f>
        <v>0</v>
      </c>
      <c r="L7">
        <f>BaselineCalc!$B$7 + ROUND(Scenarios!I3*Scenarios!F3,0)</f>
        <v>332</v>
      </c>
      <c r="M7">
        <f>BaselineCalc!$B$8 + Scenarios!I3 - ROUND(Scenarios!J3*Scenarios!F3,0)</f>
        <v>371</v>
      </c>
      <c r="N7" s="11">
        <f t="shared" si="2"/>
        <v>0</v>
      </c>
      <c r="O7" s="11">
        <f>BaselineCalc!$B$23 * N7</f>
        <v>0</v>
      </c>
      <c r="P7">
        <f>YearMap!E2</f>
        <v>1000</v>
      </c>
      <c r="Q7">
        <f>IF(Scenarios!N3="lease", YearMap!F2, YearMap!G2)</f>
        <v>0.5</v>
      </c>
      <c r="R7" s="2">
        <f>IF(Scenarios!D3=1, Q7*H7, H7)</f>
        <v>1203999.7679999999</v>
      </c>
      <c r="S7" s="2">
        <f>IF(Scenarios!E3=1, Q7*I7, I7)</f>
        <v>1386707.9039999999</v>
      </c>
      <c r="T7" s="2">
        <f>IF(C7="FY2026", (Scenarios!D3+Scenarios!E3)*BaselineCalc!$B$22, 0)</f>
        <v>0</v>
      </c>
      <c r="U7" s="2">
        <f t="shared" si="3"/>
        <v>6411711.2327999994</v>
      </c>
      <c r="V7" s="2">
        <f t="shared" si="4"/>
        <v>0</v>
      </c>
      <c r="W7" s="2">
        <f t="shared" si="5"/>
        <v>6411711.2327999994</v>
      </c>
      <c r="X7" s="2">
        <f t="shared" si="6"/>
        <v>9120.4996199146499</v>
      </c>
      <c r="Y7" s="2">
        <f>INDEX(YearMap!$I$2:$I$6, MATCH(C7, YearMap!$A$2:$A$6, 0))</f>
        <v>5013</v>
      </c>
      <c r="Z7" s="2">
        <f t="shared" si="7"/>
        <v>2887572.2327999994</v>
      </c>
      <c r="AA7" s="2">
        <f t="shared" si="8"/>
        <v>4107.4996199146508</v>
      </c>
      <c r="AB7">
        <f>MAX(0, (MAX(0, $D7-BaselineCalc!$B$7) + MAX(0, $E7-BaselineCalc!$B$8)))</f>
        <v>150</v>
      </c>
      <c r="AC7">
        <f t="shared" si="9"/>
        <v>703</v>
      </c>
      <c r="AD7" s="2">
        <f t="shared" si="10"/>
        <v>3524139</v>
      </c>
      <c r="AE7" s="2">
        <f>W7 - (1-Other_Parameters!$B$2)*$G7*$AB7*$J7*(1-$K7)</f>
        <v>5920214.1256799996</v>
      </c>
      <c r="AF7" s="2">
        <f t="shared" si="11"/>
        <v>-2396075.1256799996</v>
      </c>
      <c r="AG7" t="str">
        <f t="shared" si="12"/>
        <v>E_StatusQuo_Targets|FY2026</v>
      </c>
    </row>
    <row r="8" spans="1:33" x14ac:dyDescent="0.35">
      <c r="A8" t="str">
        <f t="shared" si="0"/>
        <v>E_StatusQuo_Targets|FY2027</v>
      </c>
      <c r="B8" t="str">
        <f>Scenarios!A3</f>
        <v>E_StatusQuo_Targets</v>
      </c>
      <c r="C8" t="s">
        <v>4</v>
      </c>
      <c r="D8">
        <f>IF(Scenarios!D3=1,0, L8)</f>
        <v>332</v>
      </c>
      <c r="E8">
        <f>IF(Scenarios!E3=1,0, M8)</f>
        <v>371</v>
      </c>
      <c r="F8">
        <f t="shared" si="1"/>
        <v>703</v>
      </c>
      <c r="G8" s="2">
        <f>YearMap!B3</f>
        <v>5637.0653999999995</v>
      </c>
      <c r="H8" s="2">
        <f>YearMap!C3</f>
        <v>1234099.7622</v>
      </c>
      <c r="I8" s="2">
        <f>YearMap!D3</f>
        <v>1421375.6015999999</v>
      </c>
      <c r="J8">
        <f>1-BaselineCalc!$B$5</f>
        <v>0.99299999999999999</v>
      </c>
      <c r="K8">
        <f>Scenarios!G3</f>
        <v>0</v>
      </c>
      <c r="L8">
        <f>BaselineCalc!$B$7 + ROUND(Scenarios!J3*Scenarios!F3,0)</f>
        <v>332</v>
      </c>
      <c r="M8">
        <f>BaselineCalc!$B$8 + Scenarios!J3 - ROUND(Scenarios!J3*Scenarios!F3,0)</f>
        <v>371</v>
      </c>
      <c r="N8" s="11">
        <f t="shared" si="2"/>
        <v>0</v>
      </c>
      <c r="O8" s="11">
        <f>BaselineCalc!$B$23 * N8</f>
        <v>0</v>
      </c>
      <c r="P8">
        <f>YearMap!E3</f>
        <v>800</v>
      </c>
      <c r="Q8">
        <f>IF(Scenarios!N3="lease", YearMap!F3, YearMap!G3)</f>
        <v>0.4</v>
      </c>
      <c r="R8" s="2">
        <f>IF(Scenarios!D3=1, Q8*H8, H8)</f>
        <v>1234099.7622</v>
      </c>
      <c r="S8" s="2">
        <f>IF(Scenarios!E3=1, Q8*I8, I8)</f>
        <v>1421375.6015999999</v>
      </c>
      <c r="T8" s="2">
        <f>IF(C8="FY2026", (Scenarios!D3+Scenarios!E3)*BaselineCalc!$B$22, 0)</f>
        <v>0</v>
      </c>
      <c r="U8" s="2">
        <f t="shared" si="3"/>
        <v>6572004.0136199994</v>
      </c>
      <c r="V8" s="2">
        <f t="shared" si="4"/>
        <v>0</v>
      </c>
      <c r="W8" s="2">
        <f t="shared" si="5"/>
        <v>6572004.0136199994</v>
      </c>
      <c r="X8" s="2">
        <f t="shared" si="6"/>
        <v>9348.5121104125174</v>
      </c>
      <c r="Y8" s="2">
        <f>INDEX(YearMap!$I$2:$I$6, MATCH(C8, YearMap!$A$2:$A$6, 0))</f>
        <v>5113.26</v>
      </c>
      <c r="Z8" s="2">
        <f t="shared" si="7"/>
        <v>2977382.2336199991</v>
      </c>
      <c r="AA8" s="2">
        <f t="shared" si="8"/>
        <v>4235.2521104125162</v>
      </c>
      <c r="AB8">
        <f>MAX(0, (MAX(0, $D8-BaselineCalc!$B$7) + MAX(0, $E8-BaselineCalc!$B$8)))</f>
        <v>150</v>
      </c>
      <c r="AC8">
        <f t="shared" si="9"/>
        <v>703</v>
      </c>
      <c r="AD8" s="2">
        <f t="shared" si="10"/>
        <v>3594621.7800000003</v>
      </c>
      <c r="AE8" s="2">
        <f>W8 - (1-Other_Parameters!$B$2)*$G8*$AB8*$J8*(1-$K8)</f>
        <v>6068219.4788219994</v>
      </c>
      <c r="AF8" s="2">
        <f t="shared" si="11"/>
        <v>-2473597.6988219991</v>
      </c>
      <c r="AG8" t="str">
        <f t="shared" si="12"/>
        <v>E_StatusQuo_Targets|FY2027</v>
      </c>
    </row>
    <row r="9" spans="1:33" x14ac:dyDescent="0.35">
      <c r="A9" t="str">
        <f t="shared" si="0"/>
        <v>E_StatusQuo_Targets|FY2028</v>
      </c>
      <c r="B9" t="str">
        <f>Scenarios!A3</f>
        <v>E_StatusQuo_Targets</v>
      </c>
      <c r="C9" t="s">
        <v>5</v>
      </c>
      <c r="D9">
        <f>IF(Scenarios!D3=1,0, L9)</f>
        <v>332</v>
      </c>
      <c r="E9">
        <f>IF(Scenarios!E3=1,0, M9)</f>
        <v>371</v>
      </c>
      <c r="F9">
        <f t="shared" si="1"/>
        <v>703</v>
      </c>
      <c r="G9" s="2">
        <f>YearMap!B4</f>
        <v>5777.9920349999993</v>
      </c>
      <c r="H9" s="2">
        <f>YearMap!C4</f>
        <v>1264952.2562550001</v>
      </c>
      <c r="I9" s="2">
        <f>YearMap!D4</f>
        <v>1456909.9916400001</v>
      </c>
      <c r="J9">
        <f>1-BaselineCalc!$B$5</f>
        <v>0.99299999999999999</v>
      </c>
      <c r="K9">
        <f>Scenarios!G3</f>
        <v>0</v>
      </c>
      <c r="L9">
        <f>BaselineCalc!$B$7 + ROUND(Scenarios!K3*Scenarios!F3,0)</f>
        <v>332</v>
      </c>
      <c r="M9">
        <f>BaselineCalc!$B$8 + Scenarios!K3 - ROUND(Scenarios!K3*Scenarios!F3,0)</f>
        <v>371</v>
      </c>
      <c r="N9" s="11">
        <f t="shared" si="2"/>
        <v>0</v>
      </c>
      <c r="O9" s="11">
        <f>BaselineCalc!$B$23 * N9</f>
        <v>0</v>
      </c>
      <c r="P9">
        <f>YearMap!E4</f>
        <v>600</v>
      </c>
      <c r="Q9">
        <f>IF(Scenarios!N3="lease", YearMap!F4, YearMap!G4)</f>
        <v>0.35</v>
      </c>
      <c r="R9" s="2">
        <f>IF(Scenarios!D3=1, Q9*H9, H9)</f>
        <v>1264952.2562550001</v>
      </c>
      <c r="S9" s="2">
        <f>IF(Scenarios!E3=1, Q9*I9, I9)</f>
        <v>1456909.9916400001</v>
      </c>
      <c r="T9" s="2">
        <f>IF(C9="FY2026", (Scenarios!D3+Scenarios!E3)*BaselineCalc!$B$22, 0)</f>
        <v>0</v>
      </c>
      <c r="U9" s="2">
        <f t="shared" si="3"/>
        <v>6736304.1139604999</v>
      </c>
      <c r="V9" s="2">
        <f t="shared" si="4"/>
        <v>0</v>
      </c>
      <c r="W9" s="2">
        <f t="shared" si="5"/>
        <v>6736304.1139604999</v>
      </c>
      <c r="X9" s="2">
        <f t="shared" si="6"/>
        <v>9582.2249131728313</v>
      </c>
      <c r="Y9" s="2">
        <f>INDEX(YearMap!$I$2:$I$6, MATCH(C9, YearMap!$A$2:$A$6, 0))</f>
        <v>5215.5252</v>
      </c>
      <c r="Z9" s="2">
        <f t="shared" si="7"/>
        <v>3069789.8983604996</v>
      </c>
      <c r="AA9" s="2">
        <f t="shared" si="8"/>
        <v>4366.6997131728303</v>
      </c>
      <c r="AB9">
        <f>MAX(0, (MAX(0, $D9-BaselineCalc!$B$7) + MAX(0, $E9-BaselineCalc!$B$8)))</f>
        <v>150</v>
      </c>
      <c r="AC9">
        <f t="shared" si="9"/>
        <v>703</v>
      </c>
      <c r="AD9" s="2">
        <f t="shared" si="10"/>
        <v>3666514.2156000002</v>
      </c>
      <c r="AE9" s="2">
        <f>W9 - (1-Other_Parameters!$B$2)*$G9*$AB9*$J9*(1-$K9)</f>
        <v>6219924.9657925498</v>
      </c>
      <c r="AF9" s="2">
        <f t="shared" si="11"/>
        <v>-2553410.7501925495</v>
      </c>
      <c r="AG9" t="str">
        <f t="shared" si="12"/>
        <v>E_StatusQuo_Targets|FY2028</v>
      </c>
    </row>
    <row r="10" spans="1:33" x14ac:dyDescent="0.35">
      <c r="A10" t="str">
        <f t="shared" si="0"/>
        <v>E_StatusQuo_Targets|FY2029</v>
      </c>
      <c r="B10" t="str">
        <f>Scenarios!A3</f>
        <v>E_StatusQuo_Targets</v>
      </c>
      <c r="C10" t="s">
        <v>6</v>
      </c>
      <c r="D10">
        <f>IF(Scenarios!D3=1,0, L10)</f>
        <v>332</v>
      </c>
      <c r="E10">
        <f>IF(Scenarios!E3=1,0, M10)</f>
        <v>371</v>
      </c>
      <c r="F10">
        <f t="shared" si="1"/>
        <v>703</v>
      </c>
      <c r="G10" s="2">
        <f>YearMap!B5</f>
        <v>5922.4418358749981</v>
      </c>
      <c r="H10" s="2">
        <f>YearMap!C5</f>
        <v>1296576.0626613749</v>
      </c>
      <c r="I10" s="2">
        <f>YearMap!D5</f>
        <v>1493332.7414309999</v>
      </c>
      <c r="J10">
        <f>1-BaselineCalc!$B$5</f>
        <v>0.99299999999999999</v>
      </c>
      <c r="K10">
        <f>Scenarios!G3</f>
        <v>0</v>
      </c>
      <c r="L10">
        <f>BaselineCalc!$B$7 + ROUND(Scenarios!L3*Scenarios!F3,0)</f>
        <v>332</v>
      </c>
      <c r="M10">
        <f>BaselineCalc!$B$8 + Scenarios!L3 - ROUND(Scenarios!L3*Scenarios!F3,0)</f>
        <v>371</v>
      </c>
      <c r="N10" s="11">
        <f t="shared" si="2"/>
        <v>0</v>
      </c>
      <c r="O10" s="11">
        <f>BaselineCalc!$B$23 * N10</f>
        <v>0</v>
      </c>
      <c r="P10">
        <f>YearMap!E5</f>
        <v>500</v>
      </c>
      <c r="Q10">
        <f>IF(Scenarios!N3="lease", YearMap!F5, YearMap!G5)</f>
        <v>0.3</v>
      </c>
      <c r="R10" s="2">
        <f>IF(Scenarios!D3=1, Q10*H10, H10)</f>
        <v>1296576.0626613749</v>
      </c>
      <c r="S10" s="2">
        <f>IF(Scenarios!E3=1, Q10*I10, I10)</f>
        <v>1493332.7414309999</v>
      </c>
      <c r="T10" s="2">
        <f>IF(C10="FY2026", (Scenarios!D3+Scenarios!E3)*BaselineCalc!$B$22, 0)</f>
        <v>0</v>
      </c>
      <c r="U10" s="2">
        <f t="shared" si="3"/>
        <v>6904711.7168095103</v>
      </c>
      <c r="V10" s="2">
        <f t="shared" si="4"/>
        <v>0</v>
      </c>
      <c r="W10" s="2">
        <f t="shared" si="5"/>
        <v>6904711.7168095103</v>
      </c>
      <c r="X10" s="2">
        <f t="shared" si="6"/>
        <v>9821.7805360021484</v>
      </c>
      <c r="Y10" s="2">
        <f>INDEX(YearMap!$I$2:$I$6, MATCH(C10, YearMap!$A$2:$A$6, 0))</f>
        <v>5319.8357040000001</v>
      </c>
      <c r="Z10" s="2">
        <f t="shared" si="7"/>
        <v>3164867.21689751</v>
      </c>
      <c r="AA10" s="2">
        <f t="shared" si="8"/>
        <v>4501.9448320021484</v>
      </c>
      <c r="AB10">
        <f>MAX(0, (MAX(0, $D10-BaselineCalc!$B$7) + MAX(0, $E10-BaselineCalc!$B$8)))</f>
        <v>150</v>
      </c>
      <c r="AC10">
        <f t="shared" si="9"/>
        <v>703</v>
      </c>
      <c r="AD10" s="2">
        <f t="shared" si="10"/>
        <v>3739844.4999120003</v>
      </c>
      <c r="AE10" s="2">
        <f>W10 - (1-Other_Parameters!$B$2)*$G10*$AB10*$J10*(1-$K10)</f>
        <v>6375423.0899373619</v>
      </c>
      <c r="AF10" s="2">
        <f t="shared" si="11"/>
        <v>-2635578.5900253616</v>
      </c>
      <c r="AG10" t="str">
        <f t="shared" si="12"/>
        <v>E_StatusQuo_Targets|FY2029</v>
      </c>
    </row>
    <row r="11" spans="1:33" x14ac:dyDescent="0.35">
      <c r="A11" t="str">
        <f t="shared" si="0"/>
        <v>E_StatusQuo_Targets|FY2030</v>
      </c>
      <c r="B11" t="str">
        <f>Scenarios!A3</f>
        <v>E_StatusQuo_Targets</v>
      </c>
      <c r="C11" t="s">
        <v>7</v>
      </c>
      <c r="D11">
        <f>IF(Scenarios!D3=1,0, L11)</f>
        <v>332</v>
      </c>
      <c r="E11">
        <f>IF(Scenarios!E3=1,0, M11)</f>
        <v>371</v>
      </c>
      <c r="F11">
        <f t="shared" si="1"/>
        <v>703</v>
      </c>
      <c r="G11" s="2">
        <f>YearMap!B6</f>
        <v>6070.502881771873</v>
      </c>
      <c r="H11" s="2">
        <f>YearMap!C6</f>
        <v>1328990.4642279092</v>
      </c>
      <c r="I11" s="2">
        <f>YearMap!D6</f>
        <v>1530666.0599667749</v>
      </c>
      <c r="J11">
        <f>1-BaselineCalc!$B$5</f>
        <v>0.99299999999999999</v>
      </c>
      <c r="K11">
        <f>Scenarios!G3</f>
        <v>0</v>
      </c>
      <c r="L11">
        <f>BaselineCalc!$B$7 + ROUND(Scenarios!M3*Scenarios!F3,0)</f>
        <v>332</v>
      </c>
      <c r="M11">
        <f>BaselineCalc!$B$8 + Scenarios!M3 - ROUND(Scenarios!M3*Scenarios!F3,0)</f>
        <v>371</v>
      </c>
      <c r="N11" s="11">
        <f t="shared" si="2"/>
        <v>0</v>
      </c>
      <c r="O11" s="11">
        <f>BaselineCalc!$B$23 * N11</f>
        <v>0</v>
      </c>
      <c r="P11">
        <f>YearMap!E6</f>
        <v>300</v>
      </c>
      <c r="Q11">
        <f>IF(Scenarios!N3="lease", YearMap!F6, YearMap!G6)</f>
        <v>0.3</v>
      </c>
      <c r="R11" s="2">
        <f>IF(Scenarios!D3=1, Q11*H11, H11)</f>
        <v>1328990.4642279092</v>
      </c>
      <c r="S11" s="2">
        <f>IF(Scenarios!E3=1, Q11*I11, I11)</f>
        <v>1530666.0599667749</v>
      </c>
      <c r="T11" s="2">
        <f>IF(C11="FY2026", (Scenarios!D3+Scenarios!E3)*BaselineCalc!$B$22, 0)</f>
        <v>0</v>
      </c>
      <c r="U11" s="2">
        <f t="shared" si="3"/>
        <v>7077329.5097297486</v>
      </c>
      <c r="V11" s="2">
        <f t="shared" si="4"/>
        <v>0</v>
      </c>
      <c r="W11" s="2">
        <f t="shared" si="5"/>
        <v>7077329.5097297486</v>
      </c>
      <c r="X11" s="2">
        <f t="shared" si="6"/>
        <v>10067.325049402203</v>
      </c>
      <c r="Y11" s="2">
        <f>INDEX(YearMap!$I$2:$I$6, MATCH(C11, YearMap!$A$2:$A$6, 0))</f>
        <v>5426.2324180799997</v>
      </c>
      <c r="Z11" s="2">
        <f t="shared" si="7"/>
        <v>3262688.1198195089</v>
      </c>
      <c r="AA11" s="2">
        <f t="shared" si="8"/>
        <v>4641.0926313222035</v>
      </c>
      <c r="AB11">
        <f>MAX(0, (MAX(0, $D11-BaselineCalc!$B$7) + MAX(0, $E11-BaselineCalc!$B$8)))</f>
        <v>150</v>
      </c>
      <c r="AC11">
        <f t="shared" si="9"/>
        <v>703</v>
      </c>
      <c r="AD11" s="2">
        <f t="shared" si="10"/>
        <v>3814641.3899102397</v>
      </c>
      <c r="AE11" s="2">
        <f>W11 - (1-Other_Parameters!$B$2)*$G11*$AB11*$J11*(1-$K11)</f>
        <v>6534808.6671857964</v>
      </c>
      <c r="AF11" s="2">
        <f t="shared" si="11"/>
        <v>-2720167.2772755567</v>
      </c>
      <c r="AG11" t="str">
        <f t="shared" si="12"/>
        <v>E_StatusQuo_Targets|FY2030</v>
      </c>
    </row>
    <row r="12" spans="1:33" x14ac:dyDescent="0.35">
      <c r="A12" t="str">
        <f t="shared" si="0"/>
        <v>F_CoLocation_Echo_Targets|FY2026</v>
      </c>
      <c r="B12" t="str">
        <f>Scenarios!A4</f>
        <v>F_CoLocation_Echo_Targets</v>
      </c>
      <c r="C12" t="s">
        <v>3</v>
      </c>
      <c r="D12">
        <f>IF(Scenarios!D4=1,0, L12)</f>
        <v>332</v>
      </c>
      <c r="E12">
        <f>IF(Scenarios!E4=1,0, M12)</f>
        <v>371</v>
      </c>
      <c r="F12">
        <f t="shared" si="1"/>
        <v>703</v>
      </c>
      <c r="G12" s="2">
        <f>YearMap!B2</f>
        <v>5499.5759999999991</v>
      </c>
      <c r="H12" s="2">
        <f>YearMap!C2</f>
        <v>1203999.7679999999</v>
      </c>
      <c r="I12" s="2">
        <f>YearMap!D2</f>
        <v>1386707.9039999999</v>
      </c>
      <c r="J12">
        <f>1-BaselineCalc!$B$5</f>
        <v>0.99299999999999999</v>
      </c>
      <c r="K12">
        <f>Scenarios!G4</f>
        <v>0.05</v>
      </c>
      <c r="L12">
        <f>BaselineCalc!$B$7 + ROUND(Scenarios!I4*Scenarios!F4,0)</f>
        <v>332</v>
      </c>
      <c r="M12">
        <f>BaselineCalc!$B$8 + Scenarios!I4 - ROUND(Scenarios!I4*Scenarios!F4,0)</f>
        <v>371</v>
      </c>
      <c r="N12" s="11">
        <f t="shared" si="2"/>
        <v>0</v>
      </c>
      <c r="O12" s="11">
        <f>BaselineCalc!$B$23 * N12</f>
        <v>0</v>
      </c>
      <c r="P12">
        <f>YearMap!E2</f>
        <v>1000</v>
      </c>
      <c r="Q12">
        <f>IF(Scenarios!N4="lease", YearMap!F2, YearMap!G2)</f>
        <v>0.5</v>
      </c>
      <c r="R12" s="2">
        <f>IF(Scenarios!D4=1, Q12*H12, H12)</f>
        <v>1203999.7679999999</v>
      </c>
      <c r="S12" s="2">
        <f>IF(Scenarios!E4=1, Q12*I12, I12)</f>
        <v>1386707.9039999999</v>
      </c>
      <c r="T12" s="2">
        <f>IF(C12="FY2026", (Scenarios!D4+Scenarios!E4)*BaselineCalc!$B$22, 0)</f>
        <v>0</v>
      </c>
      <c r="U12" s="2">
        <f t="shared" si="3"/>
        <v>6091125.6711599994</v>
      </c>
      <c r="V12" s="2">
        <f t="shared" si="4"/>
        <v>0</v>
      </c>
      <c r="W12" s="2">
        <f t="shared" si="5"/>
        <v>6091125.6711599994</v>
      </c>
      <c r="X12" s="2">
        <f t="shared" si="6"/>
        <v>8664.4746389189186</v>
      </c>
      <c r="Y12" s="2">
        <f>INDEX(YearMap!$I$2:$I$6, MATCH(C12, YearMap!$A$2:$A$6, 0))</f>
        <v>5013</v>
      </c>
      <c r="Z12" s="2">
        <f t="shared" si="7"/>
        <v>2566986.6711599994</v>
      </c>
      <c r="AA12" s="2">
        <f t="shared" si="8"/>
        <v>3651.4746389189181</v>
      </c>
      <c r="AB12">
        <f>MAX(0, (MAX(0, $D12-BaselineCalc!$B$7) + MAX(0, $E12-BaselineCalc!$B$8)))</f>
        <v>150</v>
      </c>
      <c r="AC12">
        <f t="shared" si="9"/>
        <v>703</v>
      </c>
      <c r="AD12" s="2">
        <f t="shared" si="10"/>
        <v>3524139</v>
      </c>
      <c r="AE12" s="2">
        <f>W12 - (1-Other_Parameters!$B$2)*$G12*$AB12*$J12*(1-$K12)</f>
        <v>5624203.419396</v>
      </c>
      <c r="AF12" s="2">
        <f t="shared" si="11"/>
        <v>-2100064.419396</v>
      </c>
      <c r="AG12" t="str">
        <f t="shared" si="12"/>
        <v>F_CoLocation_Echo_Targets|FY2026</v>
      </c>
    </row>
    <row r="13" spans="1:33" x14ac:dyDescent="0.35">
      <c r="A13" t="str">
        <f t="shared" si="0"/>
        <v>F_CoLocation_Echo_Targets|FY2027</v>
      </c>
      <c r="B13" t="str">
        <f>Scenarios!A4</f>
        <v>F_CoLocation_Echo_Targets</v>
      </c>
      <c r="C13" t="s">
        <v>4</v>
      </c>
      <c r="D13">
        <f>IF(Scenarios!D4=1,0, L13)</f>
        <v>332</v>
      </c>
      <c r="E13">
        <f>IF(Scenarios!E4=1,0, M13)</f>
        <v>371</v>
      </c>
      <c r="F13">
        <f t="shared" si="1"/>
        <v>703</v>
      </c>
      <c r="G13" s="2">
        <f>YearMap!B3</f>
        <v>5637.0653999999995</v>
      </c>
      <c r="H13" s="2">
        <f>YearMap!C3</f>
        <v>1234099.7622</v>
      </c>
      <c r="I13" s="2">
        <f>YearMap!D3</f>
        <v>1421375.6015999999</v>
      </c>
      <c r="J13">
        <f>1-BaselineCalc!$B$5</f>
        <v>0.99299999999999999</v>
      </c>
      <c r="K13">
        <f>Scenarios!G4</f>
        <v>0.05</v>
      </c>
      <c r="L13">
        <f>BaselineCalc!$B$7 + ROUND(Scenarios!J4*Scenarios!F4,0)</f>
        <v>332</v>
      </c>
      <c r="M13">
        <f>BaselineCalc!$B$8 + Scenarios!J4 - ROUND(Scenarios!J4*Scenarios!F4,0)</f>
        <v>371</v>
      </c>
      <c r="N13" s="11">
        <f t="shared" si="2"/>
        <v>0</v>
      </c>
      <c r="O13" s="11">
        <f>BaselineCalc!$B$23 * N13</f>
        <v>0</v>
      </c>
      <c r="P13">
        <f>YearMap!E3</f>
        <v>800</v>
      </c>
      <c r="Q13">
        <f>IF(Scenarios!N4="lease", YearMap!F3, YearMap!G3)</f>
        <v>0.4</v>
      </c>
      <c r="R13" s="2">
        <f>IF(Scenarios!D4=1, Q13*H13, H13)</f>
        <v>1234099.7622</v>
      </c>
      <c r="S13" s="2">
        <f>IF(Scenarios!E4=1, Q13*I13, I13)</f>
        <v>1421375.6015999999</v>
      </c>
      <c r="T13" s="2">
        <f>IF(C13="FY2026", (Scenarios!D4+Scenarios!E4)*BaselineCalc!$B$22, 0)</f>
        <v>0</v>
      </c>
      <c r="U13" s="2">
        <f t="shared" si="3"/>
        <v>6243403.8129389994</v>
      </c>
      <c r="V13" s="2">
        <f t="shared" si="4"/>
        <v>0</v>
      </c>
      <c r="W13" s="2">
        <f t="shared" si="5"/>
        <v>6243403.8129389994</v>
      </c>
      <c r="X13" s="2">
        <f t="shared" si="6"/>
        <v>8881.0865048918913</v>
      </c>
      <c r="Y13" s="2">
        <f>INDEX(YearMap!$I$2:$I$6, MATCH(C13, YearMap!$A$2:$A$6, 0))</f>
        <v>5113.26</v>
      </c>
      <c r="Z13" s="2">
        <f t="shared" si="7"/>
        <v>2648782.0329389991</v>
      </c>
      <c r="AA13" s="2">
        <f t="shared" si="8"/>
        <v>3767.8265048918906</v>
      </c>
      <c r="AB13">
        <f>MAX(0, (MAX(0, $D13-BaselineCalc!$B$7) + MAX(0, $E13-BaselineCalc!$B$8)))</f>
        <v>150</v>
      </c>
      <c r="AC13">
        <f t="shared" si="9"/>
        <v>703</v>
      </c>
      <c r="AD13" s="2">
        <f t="shared" si="10"/>
        <v>3594621.7800000003</v>
      </c>
      <c r="AE13" s="2">
        <f>W13 - (1-Other_Parameters!$B$2)*$G13*$AB13*$J13*(1-$K13)</f>
        <v>5764808.5048808996</v>
      </c>
      <c r="AF13" s="2">
        <f t="shared" si="11"/>
        <v>-2170186.7248808993</v>
      </c>
      <c r="AG13" t="str">
        <f t="shared" si="12"/>
        <v>F_CoLocation_Echo_Targets|FY2027</v>
      </c>
    </row>
    <row r="14" spans="1:33" x14ac:dyDescent="0.35">
      <c r="A14" t="str">
        <f t="shared" si="0"/>
        <v>F_CoLocation_Echo_Targets|FY2028</v>
      </c>
      <c r="B14" t="str">
        <f>Scenarios!A4</f>
        <v>F_CoLocation_Echo_Targets</v>
      </c>
      <c r="C14" t="s">
        <v>5</v>
      </c>
      <c r="D14">
        <f>IF(Scenarios!D4=1,0, L14)</f>
        <v>332</v>
      </c>
      <c r="E14">
        <f>IF(Scenarios!E4=1,0, M14)</f>
        <v>371</v>
      </c>
      <c r="F14">
        <f t="shared" si="1"/>
        <v>703</v>
      </c>
      <c r="G14" s="2">
        <f>YearMap!B4</f>
        <v>5777.9920349999993</v>
      </c>
      <c r="H14" s="2">
        <f>YearMap!C4</f>
        <v>1264952.2562550001</v>
      </c>
      <c r="I14" s="2">
        <f>YearMap!D4</f>
        <v>1456909.9916400001</v>
      </c>
      <c r="J14">
        <f>1-BaselineCalc!$B$5</f>
        <v>0.99299999999999999</v>
      </c>
      <c r="K14">
        <f>Scenarios!G4</f>
        <v>0.05</v>
      </c>
      <c r="L14">
        <f>BaselineCalc!$B$7 + ROUND(Scenarios!K4*Scenarios!F4,0)</f>
        <v>332</v>
      </c>
      <c r="M14">
        <f>BaselineCalc!$B$8 + Scenarios!K4 - ROUND(Scenarios!K4*Scenarios!F4,0)</f>
        <v>371</v>
      </c>
      <c r="N14" s="11">
        <f t="shared" si="2"/>
        <v>0</v>
      </c>
      <c r="O14" s="11">
        <f>BaselineCalc!$B$23 * N14</f>
        <v>0</v>
      </c>
      <c r="P14">
        <f>YearMap!E4</f>
        <v>600</v>
      </c>
      <c r="Q14">
        <f>IF(Scenarios!N4="lease", YearMap!F4, YearMap!G4)</f>
        <v>0.35</v>
      </c>
      <c r="R14" s="2">
        <f>IF(Scenarios!D4=1, Q14*H14, H14)</f>
        <v>1264952.2562550001</v>
      </c>
      <c r="S14" s="2">
        <f>IF(Scenarios!E4=1, Q14*I14, I14)</f>
        <v>1456909.9916400001</v>
      </c>
      <c r="T14" s="2">
        <f>IF(C14="FY2026", (Scenarios!D4+Scenarios!E4)*BaselineCalc!$B$22, 0)</f>
        <v>0</v>
      </c>
      <c r="U14" s="2">
        <f t="shared" si="3"/>
        <v>6399488.9082624745</v>
      </c>
      <c r="V14" s="2">
        <f t="shared" si="4"/>
        <v>0</v>
      </c>
      <c r="W14" s="2">
        <f t="shared" si="5"/>
        <v>6399488.9082624745</v>
      </c>
      <c r="X14" s="2">
        <f t="shared" si="6"/>
        <v>9103.1136675141879</v>
      </c>
      <c r="Y14" s="2">
        <f>INDEX(YearMap!$I$2:$I$6, MATCH(C14, YearMap!$A$2:$A$6, 0))</f>
        <v>5215.5252</v>
      </c>
      <c r="Z14" s="2">
        <f t="shared" si="7"/>
        <v>2732974.6926624742</v>
      </c>
      <c r="AA14" s="2">
        <f t="shared" si="8"/>
        <v>3887.5884675141883</v>
      </c>
      <c r="AB14">
        <f>MAX(0, (MAX(0, $D14-BaselineCalc!$B$7) + MAX(0, $E14-BaselineCalc!$B$8)))</f>
        <v>150</v>
      </c>
      <c r="AC14">
        <f t="shared" si="9"/>
        <v>703</v>
      </c>
      <c r="AD14" s="2">
        <f t="shared" si="10"/>
        <v>3666514.2156000002</v>
      </c>
      <c r="AE14" s="2">
        <f>W14 - (1-Other_Parameters!$B$2)*$G14*$AB14*$J14*(1-$K14)</f>
        <v>5908928.7175029218</v>
      </c>
      <c r="AF14" s="2">
        <f t="shared" si="11"/>
        <v>-2242414.5019029216</v>
      </c>
      <c r="AG14" t="str">
        <f t="shared" si="12"/>
        <v>F_CoLocation_Echo_Targets|FY2028</v>
      </c>
    </row>
    <row r="15" spans="1:33" x14ac:dyDescent="0.35">
      <c r="A15" t="str">
        <f t="shared" si="0"/>
        <v>F_CoLocation_Echo_Targets|FY2029</v>
      </c>
      <c r="B15" t="str">
        <f>Scenarios!A4</f>
        <v>F_CoLocation_Echo_Targets</v>
      </c>
      <c r="C15" t="s">
        <v>6</v>
      </c>
      <c r="D15">
        <f>IF(Scenarios!D4=1,0, L15)</f>
        <v>332</v>
      </c>
      <c r="E15">
        <f>IF(Scenarios!E4=1,0, M15)</f>
        <v>371</v>
      </c>
      <c r="F15">
        <f t="shared" si="1"/>
        <v>703</v>
      </c>
      <c r="G15" s="2">
        <f>YearMap!B5</f>
        <v>5922.4418358749981</v>
      </c>
      <c r="H15" s="2">
        <f>YearMap!C5</f>
        <v>1296576.0626613749</v>
      </c>
      <c r="I15" s="2">
        <f>YearMap!D5</f>
        <v>1493332.7414309999</v>
      </c>
      <c r="J15">
        <f>1-BaselineCalc!$B$5</f>
        <v>0.99299999999999999</v>
      </c>
      <c r="K15">
        <f>Scenarios!G4</f>
        <v>0.05</v>
      </c>
      <c r="L15">
        <f>BaselineCalc!$B$7 + ROUND(Scenarios!L4*Scenarios!F4,0)</f>
        <v>332</v>
      </c>
      <c r="M15">
        <f>BaselineCalc!$B$8 + Scenarios!L4 - ROUND(Scenarios!L4*Scenarios!F4,0)</f>
        <v>371</v>
      </c>
      <c r="N15" s="11">
        <f t="shared" si="2"/>
        <v>0</v>
      </c>
      <c r="O15" s="11">
        <f>BaselineCalc!$B$23 * N15</f>
        <v>0</v>
      </c>
      <c r="P15">
        <f>YearMap!E5</f>
        <v>500</v>
      </c>
      <c r="Q15">
        <f>IF(Scenarios!N4="lease", YearMap!F5, YearMap!G5)</f>
        <v>0.3</v>
      </c>
      <c r="R15" s="2">
        <f>IF(Scenarios!D4=1, Q15*H15, H15)</f>
        <v>1296576.0626613749</v>
      </c>
      <c r="S15" s="2">
        <f>IF(Scenarios!E4=1, Q15*I15, I15)</f>
        <v>1493332.7414309999</v>
      </c>
      <c r="T15" s="2">
        <f>IF(C15="FY2026", (Scenarios!D4+Scenarios!E4)*BaselineCalc!$B$22, 0)</f>
        <v>0</v>
      </c>
      <c r="U15" s="2">
        <f t="shared" si="3"/>
        <v>6559476.1309690345</v>
      </c>
      <c r="V15" s="2">
        <f t="shared" si="4"/>
        <v>0</v>
      </c>
      <c r="W15" s="2">
        <f t="shared" si="5"/>
        <v>6559476.1309690345</v>
      </c>
      <c r="X15" s="2">
        <f t="shared" si="6"/>
        <v>9330.6915092020408</v>
      </c>
      <c r="Y15" s="2">
        <f>INDEX(YearMap!$I$2:$I$6, MATCH(C15, YearMap!$A$2:$A$6, 0))</f>
        <v>5319.8357040000001</v>
      </c>
      <c r="Z15" s="2">
        <f t="shared" si="7"/>
        <v>2819631.6310570342</v>
      </c>
      <c r="AA15" s="2">
        <f t="shared" si="8"/>
        <v>4010.8558052020403</v>
      </c>
      <c r="AB15">
        <f>MAX(0, (MAX(0, $D15-BaselineCalc!$B$7) + MAX(0, $E15-BaselineCalc!$B$8)))</f>
        <v>150</v>
      </c>
      <c r="AC15">
        <f t="shared" si="9"/>
        <v>703</v>
      </c>
      <c r="AD15" s="2">
        <f t="shared" si="10"/>
        <v>3739844.4999120003</v>
      </c>
      <c r="AE15" s="2">
        <f>W15 - (1-Other_Parameters!$B$2)*$G15*$AB15*$J15*(1-$K15)</f>
        <v>6056651.9354404937</v>
      </c>
      <c r="AF15" s="2">
        <f t="shared" si="11"/>
        <v>-2316807.4355284935</v>
      </c>
      <c r="AG15" t="str">
        <f t="shared" si="12"/>
        <v>F_CoLocation_Echo_Targets|FY2029</v>
      </c>
    </row>
    <row r="16" spans="1:33" x14ac:dyDescent="0.35">
      <c r="A16" t="str">
        <f t="shared" si="0"/>
        <v>F_CoLocation_Echo_Targets|FY2030</v>
      </c>
      <c r="B16" t="str">
        <f>Scenarios!A4</f>
        <v>F_CoLocation_Echo_Targets</v>
      </c>
      <c r="C16" t="s">
        <v>7</v>
      </c>
      <c r="D16">
        <f>IF(Scenarios!D4=1,0, L16)</f>
        <v>332</v>
      </c>
      <c r="E16">
        <f>IF(Scenarios!E4=1,0, M16)</f>
        <v>371</v>
      </c>
      <c r="F16">
        <f t="shared" si="1"/>
        <v>703</v>
      </c>
      <c r="G16" s="2">
        <f>YearMap!B6</f>
        <v>6070.502881771873</v>
      </c>
      <c r="H16" s="2">
        <f>YearMap!C6</f>
        <v>1328990.4642279092</v>
      </c>
      <c r="I16" s="2">
        <f>YearMap!D6</f>
        <v>1530666.0599667749</v>
      </c>
      <c r="J16">
        <f>1-BaselineCalc!$B$5</f>
        <v>0.99299999999999999</v>
      </c>
      <c r="K16">
        <f>Scenarios!G4</f>
        <v>0.05</v>
      </c>
      <c r="L16">
        <f>BaselineCalc!$B$7 + ROUND(Scenarios!M4*Scenarios!F4,0)</f>
        <v>332</v>
      </c>
      <c r="M16">
        <f>BaselineCalc!$B$8 + Scenarios!M4 - ROUND(Scenarios!M4*Scenarios!F4,0)</f>
        <v>371</v>
      </c>
      <c r="N16" s="11">
        <f t="shared" si="2"/>
        <v>0</v>
      </c>
      <c r="O16" s="11">
        <f>BaselineCalc!$B$23 * N16</f>
        <v>0</v>
      </c>
      <c r="P16">
        <f>YearMap!E6</f>
        <v>300</v>
      </c>
      <c r="Q16">
        <f>IF(Scenarios!N4="lease", YearMap!F6, YearMap!G6)</f>
        <v>0.3</v>
      </c>
      <c r="R16" s="2">
        <f>IF(Scenarios!D4=1, Q16*H16, H16)</f>
        <v>1328990.4642279092</v>
      </c>
      <c r="S16" s="2">
        <f>IF(Scenarios!E4=1, Q16*I16, I16)</f>
        <v>1530666.0599667749</v>
      </c>
      <c r="T16" s="2">
        <f>IF(C16="FY2026", (Scenarios!D4+Scenarios!E4)*BaselineCalc!$B$22, 0)</f>
        <v>0</v>
      </c>
      <c r="U16" s="2">
        <f t="shared" si="3"/>
        <v>6723463.0342432605</v>
      </c>
      <c r="V16" s="2">
        <f t="shared" si="4"/>
        <v>0</v>
      </c>
      <c r="W16" s="2">
        <f t="shared" si="5"/>
        <v>6723463.0342432605</v>
      </c>
      <c r="X16" s="2">
        <f t="shared" si="6"/>
        <v>9563.958796932091</v>
      </c>
      <c r="Y16" s="2">
        <f>INDEX(YearMap!$I$2:$I$6, MATCH(C16, YearMap!$A$2:$A$6, 0))</f>
        <v>5426.2324180799997</v>
      </c>
      <c r="Z16" s="2">
        <f t="shared" si="7"/>
        <v>2908821.6443330208</v>
      </c>
      <c r="AA16" s="2">
        <f t="shared" si="8"/>
        <v>4137.7263788520922</v>
      </c>
      <c r="AB16">
        <f>MAX(0, (MAX(0, $D16-BaselineCalc!$B$7) + MAX(0, $E16-BaselineCalc!$B$8)))</f>
        <v>150</v>
      </c>
      <c r="AC16">
        <f t="shared" si="9"/>
        <v>703</v>
      </c>
      <c r="AD16" s="2">
        <f t="shared" si="10"/>
        <v>3814641.3899102397</v>
      </c>
      <c r="AE16" s="2">
        <f>W16 - (1-Other_Parameters!$B$2)*$G16*$AB16*$J16*(1-$K16)</f>
        <v>6208068.233826506</v>
      </c>
      <c r="AF16" s="2">
        <f t="shared" si="11"/>
        <v>-2393426.8439162662</v>
      </c>
      <c r="AG16" t="str">
        <f t="shared" si="12"/>
        <v>F_CoLocation_Echo_Targets|FY2030</v>
      </c>
    </row>
    <row r="17" spans="1:33" x14ac:dyDescent="0.35">
      <c r="A17" t="str">
        <f t="shared" si="0"/>
        <v>D_Grow_Both_Targets|FY2026</v>
      </c>
      <c r="B17" t="str">
        <f>Scenarios!A5</f>
        <v>D_Grow_Both_Targets</v>
      </c>
      <c r="C17" t="s">
        <v>3</v>
      </c>
      <c r="D17">
        <f>IF(Scenarios!D5=1,0, L17)</f>
        <v>382</v>
      </c>
      <c r="E17">
        <f>IF(Scenarios!E5=1,0, M17)</f>
        <v>421</v>
      </c>
      <c r="F17">
        <f t="shared" si="1"/>
        <v>803</v>
      </c>
      <c r="G17" s="2">
        <f>YearMap!B2</f>
        <v>5499.5759999999991</v>
      </c>
      <c r="H17" s="2">
        <f>YearMap!C2</f>
        <v>1203999.7679999999</v>
      </c>
      <c r="I17" s="2">
        <f>YearMap!D2</f>
        <v>1386707.9039999999</v>
      </c>
      <c r="J17">
        <f>1-BaselineCalc!$B$5</f>
        <v>0.99299999999999999</v>
      </c>
      <c r="K17">
        <f>Scenarios!G5</f>
        <v>0</v>
      </c>
      <c r="L17">
        <f>BaselineCalc!$B$7 + ROUND(Scenarios!I5*Scenarios!F5,0)</f>
        <v>382</v>
      </c>
      <c r="M17">
        <f>BaselineCalc!$B$8 + Scenarios!I5 - ROUND(Scenarios!I5*Scenarios!F5,0)</f>
        <v>421</v>
      </c>
      <c r="N17" s="11">
        <f t="shared" si="2"/>
        <v>0</v>
      </c>
      <c r="O17" s="11">
        <f>BaselineCalc!$B$23 * N17</f>
        <v>0</v>
      </c>
      <c r="P17">
        <f>YearMap!E2</f>
        <v>1000</v>
      </c>
      <c r="Q17">
        <f>IF(Scenarios!N5="lease", YearMap!F2, YearMap!G2)</f>
        <v>0.5</v>
      </c>
      <c r="R17" s="2">
        <f>IF(Scenarios!D5=1, Q17*H17, H17)</f>
        <v>1203999.7679999999</v>
      </c>
      <c r="S17" s="2">
        <f>IF(Scenarios!E5=1, Q17*I17, I17)</f>
        <v>1386707.9039999999</v>
      </c>
      <c r="T17" s="2">
        <f>IF(C17="FY2026", (Scenarios!D5+Scenarios!E5)*BaselineCalc!$B$22, 0)</f>
        <v>0</v>
      </c>
      <c r="U17" s="2">
        <f t="shared" si="3"/>
        <v>6957819.1295999996</v>
      </c>
      <c r="V17" s="2">
        <f t="shared" si="4"/>
        <v>0</v>
      </c>
      <c r="W17" s="2">
        <f t="shared" si="5"/>
        <v>6957819.1295999996</v>
      </c>
      <c r="X17" s="2">
        <f t="shared" si="6"/>
        <v>8664.7809833125775</v>
      </c>
      <c r="Y17" s="2">
        <f>INDEX(YearMap!$I$2:$I$6, MATCH(C17, YearMap!$A$2:$A$6, 0))</f>
        <v>5013</v>
      </c>
      <c r="Z17" s="2">
        <f t="shared" si="7"/>
        <v>2932380.1295999996</v>
      </c>
      <c r="AA17" s="2">
        <f t="shared" si="8"/>
        <v>3651.7809833125775</v>
      </c>
      <c r="AB17">
        <f>MAX(0, (MAX(0, $D17-BaselineCalc!$B$7) + MAX(0, $E17-BaselineCalc!$B$8)))</f>
        <v>250</v>
      </c>
      <c r="AC17">
        <f t="shared" si="9"/>
        <v>803</v>
      </c>
      <c r="AD17" s="2">
        <f t="shared" si="10"/>
        <v>4025439</v>
      </c>
      <c r="AE17" s="2">
        <f>W17 - (1-Other_Parameters!$B$2)*$G17*$AB17*$J17*(1-$K17)</f>
        <v>6138657.2844000002</v>
      </c>
      <c r="AF17" s="2">
        <f t="shared" si="11"/>
        <v>-2113218.2844000002</v>
      </c>
      <c r="AG17" t="str">
        <f t="shared" si="12"/>
        <v>D_Grow_Both_Targets|FY2026</v>
      </c>
    </row>
    <row r="18" spans="1:33" x14ac:dyDescent="0.35">
      <c r="A18" t="str">
        <f t="shared" si="0"/>
        <v>D_Grow_Both_Targets|FY2027</v>
      </c>
      <c r="B18" t="str">
        <f>Scenarios!A5</f>
        <v>D_Grow_Both_Targets</v>
      </c>
      <c r="C18" t="s">
        <v>4</v>
      </c>
      <c r="D18">
        <f>IF(Scenarios!D5=1,0, L18)</f>
        <v>382</v>
      </c>
      <c r="E18">
        <f>IF(Scenarios!E5=1,0, M18)</f>
        <v>421</v>
      </c>
      <c r="F18">
        <f t="shared" si="1"/>
        <v>803</v>
      </c>
      <c r="G18" s="2">
        <f>YearMap!B3</f>
        <v>5637.0653999999995</v>
      </c>
      <c r="H18" s="2">
        <f>YearMap!C3</f>
        <v>1234099.7622</v>
      </c>
      <c r="I18" s="2">
        <f>YearMap!D3</f>
        <v>1421375.6015999999</v>
      </c>
      <c r="J18">
        <f>1-BaselineCalc!$B$5</f>
        <v>0.99299999999999999</v>
      </c>
      <c r="K18">
        <f>Scenarios!G5</f>
        <v>0</v>
      </c>
      <c r="L18">
        <f>BaselineCalc!$B$7 + ROUND(Scenarios!J5*Scenarios!F5,0)</f>
        <v>382</v>
      </c>
      <c r="M18">
        <f>BaselineCalc!$B$8 + Scenarios!J5 - ROUND(Scenarios!J5*Scenarios!F5,0)</f>
        <v>421</v>
      </c>
      <c r="N18" s="11">
        <f t="shared" si="2"/>
        <v>0</v>
      </c>
      <c r="O18" s="11">
        <f>BaselineCalc!$B$23 * N18</f>
        <v>0</v>
      </c>
      <c r="P18">
        <f>YearMap!E3</f>
        <v>800</v>
      </c>
      <c r="Q18">
        <f>IF(Scenarios!N5="lease", YearMap!F3, YearMap!G3)</f>
        <v>0.4</v>
      </c>
      <c r="R18" s="2">
        <f>IF(Scenarios!D5=1, Q18*H18, H18)</f>
        <v>1234099.7622</v>
      </c>
      <c r="S18" s="2">
        <f>IF(Scenarios!E5=1, Q18*I18, I18)</f>
        <v>1421375.6015999999</v>
      </c>
      <c r="T18" s="2">
        <f>IF(C18="FY2026", (Scenarios!D5+Scenarios!E5)*BaselineCalc!$B$22, 0)</f>
        <v>0</v>
      </c>
      <c r="U18" s="2">
        <f t="shared" si="3"/>
        <v>7131764.6078399988</v>
      </c>
      <c r="V18" s="2">
        <f t="shared" si="4"/>
        <v>0</v>
      </c>
      <c r="W18" s="2">
        <f t="shared" si="5"/>
        <v>7131764.6078399988</v>
      </c>
      <c r="X18" s="2">
        <f t="shared" si="6"/>
        <v>8881.4005078953905</v>
      </c>
      <c r="Y18" s="2">
        <f>INDEX(YearMap!$I$2:$I$6, MATCH(C18, YearMap!$A$2:$A$6, 0))</f>
        <v>5113.26</v>
      </c>
      <c r="Z18" s="2">
        <f t="shared" si="7"/>
        <v>3025816.8278399985</v>
      </c>
      <c r="AA18" s="2">
        <f t="shared" si="8"/>
        <v>3768.1405078953903</v>
      </c>
      <c r="AB18">
        <f>MAX(0, (MAX(0, $D18-BaselineCalc!$B$7) + MAX(0, $E18-BaselineCalc!$B$8)))</f>
        <v>250</v>
      </c>
      <c r="AC18">
        <f t="shared" si="9"/>
        <v>803</v>
      </c>
      <c r="AD18" s="2">
        <f t="shared" si="10"/>
        <v>4105947.7800000003</v>
      </c>
      <c r="AE18" s="2">
        <f>W18 - (1-Other_Parameters!$B$2)*$G18*$AB18*$J18*(1-$K18)</f>
        <v>6292123.7165099988</v>
      </c>
      <c r="AF18" s="2">
        <f t="shared" si="11"/>
        <v>-2186175.9365099985</v>
      </c>
      <c r="AG18" t="str">
        <f t="shared" si="12"/>
        <v>D_Grow_Both_Targets|FY2027</v>
      </c>
    </row>
    <row r="19" spans="1:33" x14ac:dyDescent="0.35">
      <c r="A19" t="str">
        <f t="shared" si="0"/>
        <v>D_Grow_Both_Targets|FY2028</v>
      </c>
      <c r="B19" t="str">
        <f>Scenarios!A5</f>
        <v>D_Grow_Both_Targets</v>
      </c>
      <c r="C19" t="s">
        <v>5</v>
      </c>
      <c r="D19">
        <f>IF(Scenarios!D5=1,0, L19)</f>
        <v>382</v>
      </c>
      <c r="E19">
        <f>IF(Scenarios!E5=1,0, M19)</f>
        <v>421</v>
      </c>
      <c r="F19">
        <f t="shared" si="1"/>
        <v>803</v>
      </c>
      <c r="G19" s="2">
        <f>YearMap!B4</f>
        <v>5777.9920349999993</v>
      </c>
      <c r="H19" s="2">
        <f>YearMap!C4</f>
        <v>1264952.2562550001</v>
      </c>
      <c r="I19" s="2">
        <f>YearMap!D4</f>
        <v>1456909.9916400001</v>
      </c>
      <c r="J19">
        <f>1-BaselineCalc!$B$5</f>
        <v>0.99299999999999999</v>
      </c>
      <c r="K19">
        <f>Scenarios!G5</f>
        <v>0</v>
      </c>
      <c r="L19">
        <f>BaselineCalc!$B$7 + ROUND(Scenarios!K5*Scenarios!F5,0)</f>
        <v>382</v>
      </c>
      <c r="M19">
        <f>BaselineCalc!$B$8 + Scenarios!K5 - ROUND(Scenarios!K5*Scenarios!F5,0)</f>
        <v>421</v>
      </c>
      <c r="N19" s="11">
        <f t="shared" si="2"/>
        <v>0</v>
      </c>
      <c r="O19" s="11">
        <f>BaselineCalc!$B$23 * N19</f>
        <v>0</v>
      </c>
      <c r="P19">
        <f>YearMap!E4</f>
        <v>600</v>
      </c>
      <c r="Q19">
        <f>IF(Scenarios!N5="lease", YearMap!F4, YearMap!G4)</f>
        <v>0.35</v>
      </c>
      <c r="R19" s="2">
        <f>IF(Scenarios!D5=1, Q19*H19, H19)</f>
        <v>1264952.2562550001</v>
      </c>
      <c r="S19" s="2">
        <f>IF(Scenarios!E5=1, Q19*I19, I19)</f>
        <v>1456909.9916400001</v>
      </c>
      <c r="T19" s="2">
        <f>IF(C19="FY2026", (Scenarios!D5+Scenarios!E5)*BaselineCalc!$B$22, 0)</f>
        <v>0</v>
      </c>
      <c r="U19" s="2">
        <f t="shared" si="3"/>
        <v>7310058.7230359996</v>
      </c>
      <c r="V19" s="2">
        <f t="shared" si="4"/>
        <v>0</v>
      </c>
      <c r="W19" s="2">
        <f t="shared" si="5"/>
        <v>7310058.7230359996</v>
      </c>
      <c r="X19" s="2">
        <f t="shared" si="6"/>
        <v>9103.4355205927768</v>
      </c>
      <c r="Y19" s="2">
        <f>INDEX(YearMap!$I$2:$I$6, MATCH(C19, YearMap!$A$2:$A$6, 0))</f>
        <v>5215.5252</v>
      </c>
      <c r="Z19" s="2">
        <f t="shared" si="7"/>
        <v>3121991.9874359993</v>
      </c>
      <c r="AA19" s="2">
        <f t="shared" si="8"/>
        <v>3887.9103205927763</v>
      </c>
      <c r="AB19">
        <f>MAX(0, (MAX(0, $D19-BaselineCalc!$B$7) + MAX(0, $E19-BaselineCalc!$B$8)))</f>
        <v>250</v>
      </c>
      <c r="AC19">
        <f t="shared" si="9"/>
        <v>803</v>
      </c>
      <c r="AD19" s="2">
        <f t="shared" si="10"/>
        <v>4188066.7356000002</v>
      </c>
      <c r="AE19" s="2">
        <f>W19 - (1-Other_Parameters!$B$2)*$G19*$AB19*$J19*(1-$K19)</f>
        <v>6449426.80942275</v>
      </c>
      <c r="AF19" s="2">
        <f t="shared" si="11"/>
        <v>-2261360.0738227498</v>
      </c>
      <c r="AG19" t="str">
        <f t="shared" si="12"/>
        <v>D_Grow_Both_Targets|FY2028</v>
      </c>
    </row>
    <row r="20" spans="1:33" x14ac:dyDescent="0.35">
      <c r="A20" t="str">
        <f t="shared" si="0"/>
        <v>D_Grow_Both_Targets|FY2029</v>
      </c>
      <c r="B20" t="str">
        <f>Scenarios!A5</f>
        <v>D_Grow_Both_Targets</v>
      </c>
      <c r="C20" t="s">
        <v>6</v>
      </c>
      <c r="D20">
        <f>IF(Scenarios!D5=1,0, L20)</f>
        <v>382</v>
      </c>
      <c r="E20">
        <f>IF(Scenarios!E5=1,0, M20)</f>
        <v>421</v>
      </c>
      <c r="F20">
        <f t="shared" si="1"/>
        <v>803</v>
      </c>
      <c r="G20" s="2">
        <f>YearMap!B5</f>
        <v>5922.4418358749981</v>
      </c>
      <c r="H20" s="2">
        <f>YearMap!C5</f>
        <v>1296576.0626613749</v>
      </c>
      <c r="I20" s="2">
        <f>YearMap!D5</f>
        <v>1493332.7414309999</v>
      </c>
      <c r="J20">
        <f>1-BaselineCalc!$B$5</f>
        <v>0.99299999999999999</v>
      </c>
      <c r="K20">
        <f>Scenarios!G5</f>
        <v>0</v>
      </c>
      <c r="L20">
        <f>BaselineCalc!$B$7 + ROUND(Scenarios!L5*Scenarios!F5,0)</f>
        <v>382</v>
      </c>
      <c r="M20">
        <f>BaselineCalc!$B$8 + Scenarios!L5 - ROUND(Scenarios!L5*Scenarios!F5,0)</f>
        <v>421</v>
      </c>
      <c r="N20" s="11">
        <f t="shared" si="2"/>
        <v>0</v>
      </c>
      <c r="O20" s="11">
        <f>BaselineCalc!$B$23 * N20</f>
        <v>0</v>
      </c>
      <c r="P20">
        <f>YearMap!E5</f>
        <v>500</v>
      </c>
      <c r="Q20">
        <f>IF(Scenarios!N5="lease", YearMap!F5, YearMap!G5)</f>
        <v>0.3</v>
      </c>
      <c r="R20" s="2">
        <f>IF(Scenarios!D5=1, Q20*H20, H20)</f>
        <v>1296576.0626613749</v>
      </c>
      <c r="S20" s="2">
        <f>IF(Scenarios!E5=1, Q20*I20, I20)</f>
        <v>1493332.7414309999</v>
      </c>
      <c r="T20" s="2">
        <f>IF(C20="FY2026", (Scenarios!D5+Scenarios!E5)*BaselineCalc!$B$22, 0)</f>
        <v>0</v>
      </c>
      <c r="U20" s="2">
        <f t="shared" si="3"/>
        <v>7492810.191111898</v>
      </c>
      <c r="V20" s="2">
        <f t="shared" si="4"/>
        <v>0</v>
      </c>
      <c r="W20" s="2">
        <f t="shared" si="5"/>
        <v>7492810.191111898</v>
      </c>
      <c r="X20" s="2">
        <f t="shared" si="6"/>
        <v>9331.0214086075939</v>
      </c>
      <c r="Y20" s="2">
        <f>INDEX(YearMap!$I$2:$I$6, MATCH(C20, YearMap!$A$2:$A$6, 0))</f>
        <v>5319.8357040000001</v>
      </c>
      <c r="Z20" s="2">
        <f t="shared" si="7"/>
        <v>3220982.1207998982</v>
      </c>
      <c r="AA20" s="2">
        <f t="shared" si="8"/>
        <v>4011.1857046075943</v>
      </c>
      <c r="AB20">
        <f>MAX(0, (MAX(0, $D20-BaselineCalc!$B$7) + MAX(0, $E20-BaselineCalc!$B$8)))</f>
        <v>250</v>
      </c>
      <c r="AC20">
        <f t="shared" si="9"/>
        <v>803</v>
      </c>
      <c r="AD20" s="2">
        <f t="shared" si="10"/>
        <v>4271828.0703119999</v>
      </c>
      <c r="AE20" s="2">
        <f>W20 - (1-Other_Parameters!$B$2)*$G20*$AB20*$J20*(1-$K20)</f>
        <v>6610662.4796583168</v>
      </c>
      <c r="AF20" s="2">
        <f t="shared" si="11"/>
        <v>-2338834.4093463169</v>
      </c>
      <c r="AG20" t="str">
        <f t="shared" si="12"/>
        <v>D_Grow_Both_Targets|FY2029</v>
      </c>
    </row>
    <row r="21" spans="1:33" x14ac:dyDescent="0.35">
      <c r="A21" t="str">
        <f t="shared" si="0"/>
        <v>D_Grow_Both_Targets|FY2030</v>
      </c>
      <c r="B21" t="str">
        <f>Scenarios!A5</f>
        <v>D_Grow_Both_Targets</v>
      </c>
      <c r="C21" t="s">
        <v>7</v>
      </c>
      <c r="D21">
        <f>IF(Scenarios!D5=1,0, L21)</f>
        <v>382</v>
      </c>
      <c r="E21">
        <f>IF(Scenarios!E5=1,0, M21)</f>
        <v>421</v>
      </c>
      <c r="F21">
        <f t="shared" si="1"/>
        <v>803</v>
      </c>
      <c r="G21" s="2">
        <f>YearMap!B6</f>
        <v>6070.502881771873</v>
      </c>
      <c r="H21" s="2">
        <f>YearMap!C6</f>
        <v>1328990.4642279092</v>
      </c>
      <c r="I21" s="2">
        <f>YearMap!D6</f>
        <v>1530666.0599667749</v>
      </c>
      <c r="J21">
        <f>1-BaselineCalc!$B$5</f>
        <v>0.99299999999999999</v>
      </c>
      <c r="K21">
        <f>Scenarios!G5</f>
        <v>0</v>
      </c>
      <c r="L21">
        <f>BaselineCalc!$B$7 + ROUND(Scenarios!M5*Scenarios!F5,0)</f>
        <v>382</v>
      </c>
      <c r="M21">
        <f>BaselineCalc!$B$8 + Scenarios!M5 - ROUND(Scenarios!M5*Scenarios!F5,0)</f>
        <v>421</v>
      </c>
      <c r="N21" s="11">
        <f t="shared" si="2"/>
        <v>0</v>
      </c>
      <c r="O21" s="11">
        <f>BaselineCalc!$B$23 * N21</f>
        <v>0</v>
      </c>
      <c r="P21">
        <f>YearMap!E6</f>
        <v>300</v>
      </c>
      <c r="Q21">
        <f>IF(Scenarios!N5="lease", YearMap!F6, YearMap!G6)</f>
        <v>0.3</v>
      </c>
      <c r="R21" s="2">
        <f>IF(Scenarios!D5=1, Q21*H21, H21)</f>
        <v>1328990.4642279092</v>
      </c>
      <c r="S21" s="2">
        <f>IF(Scenarios!E5=1, Q21*I21, I21)</f>
        <v>1530666.0599667749</v>
      </c>
      <c r="T21" s="2">
        <f>IF(C21="FY2026", (Scenarios!D5+Scenarios!E5)*BaselineCalc!$B$22, 0)</f>
        <v>0</v>
      </c>
      <c r="U21" s="2">
        <f t="shared" si="3"/>
        <v>7680130.4458896955</v>
      </c>
      <c r="V21" s="2">
        <f t="shared" si="4"/>
        <v>0</v>
      </c>
      <c r="W21" s="2">
        <f t="shared" si="5"/>
        <v>7680130.4458896955</v>
      </c>
      <c r="X21" s="2">
        <f t="shared" si="6"/>
        <v>9564.2969438227847</v>
      </c>
      <c r="Y21" s="2">
        <f>INDEX(YearMap!$I$2:$I$6, MATCH(C21, YearMap!$A$2:$A$6, 0))</f>
        <v>5426.2324180799997</v>
      </c>
      <c r="Z21" s="2">
        <f t="shared" si="7"/>
        <v>3322865.8141714558</v>
      </c>
      <c r="AA21" s="2">
        <f t="shared" si="8"/>
        <v>4138.0645257427841</v>
      </c>
      <c r="AB21">
        <f>MAX(0, (MAX(0, $D21-BaselineCalc!$B$7) + MAX(0, $E21-BaselineCalc!$B$8)))</f>
        <v>250</v>
      </c>
      <c r="AC21">
        <f t="shared" si="9"/>
        <v>803</v>
      </c>
      <c r="AD21" s="2">
        <f t="shared" si="10"/>
        <v>4357264.6317182397</v>
      </c>
      <c r="AE21" s="2">
        <f>W21 - (1-Other_Parameters!$B$2)*$G21*$AB21*$J21*(1-$K21)</f>
        <v>6775929.0416497746</v>
      </c>
      <c r="AF21" s="2">
        <f t="shared" si="11"/>
        <v>-2418664.4099315349</v>
      </c>
      <c r="AG21" t="str">
        <f t="shared" si="12"/>
        <v>D_Grow_Both_Targets|FY2030</v>
      </c>
    </row>
    <row r="22" spans="1:33" x14ac:dyDescent="0.35">
      <c r="A22" t="str">
        <f t="shared" si="0"/>
        <v>D_CUSTOM2|FY2026</v>
      </c>
      <c r="B22" t="str">
        <f>Scenarios!A6</f>
        <v>D_CUSTOM2</v>
      </c>
      <c r="C22" t="s">
        <v>3</v>
      </c>
      <c r="D22">
        <f>IF(Scenarios!D6=1,0, L22)</f>
        <v>257</v>
      </c>
      <c r="E22">
        <f>IF(Scenarios!E6=1,0, M22)</f>
        <v>296</v>
      </c>
      <c r="F22">
        <f t="shared" si="1"/>
        <v>553</v>
      </c>
      <c r="G22" s="2">
        <f>YearMap!B2</f>
        <v>5499.5759999999991</v>
      </c>
      <c r="H22" s="2">
        <f>YearMap!C2</f>
        <v>1203999.7679999999</v>
      </c>
      <c r="I22" s="2">
        <f>YearMap!D2</f>
        <v>1386707.9039999999</v>
      </c>
      <c r="J22">
        <f>1-BaselineCalc!$B$5</f>
        <v>0.99299999999999999</v>
      </c>
      <c r="K22">
        <f>Scenarios!G6</f>
        <v>0</v>
      </c>
      <c r="L22">
        <f>BaselineCalc!$B$7 + ROUND(Scenarios!I6*Scenarios!F6,0)</f>
        <v>257</v>
      </c>
      <c r="M22">
        <f>BaselineCalc!$B$8 + Scenarios!I6 - ROUND(Scenarios!I6*Scenarios!F6,0)</f>
        <v>296</v>
      </c>
      <c r="N22" s="11">
        <f t="shared" si="2"/>
        <v>0</v>
      </c>
      <c r="O22" s="11">
        <f>BaselineCalc!$B$23 * N22</f>
        <v>0</v>
      </c>
      <c r="P22">
        <f>YearMap!E2</f>
        <v>1000</v>
      </c>
      <c r="Q22">
        <f>IF(Scenarios!N6="lease", YearMap!F2, YearMap!G2)</f>
        <v>0.5</v>
      </c>
      <c r="R22" s="2">
        <f>IF(Scenarios!D6=1, Q22*H22, H22)</f>
        <v>1203999.7679999999</v>
      </c>
      <c r="S22" s="2">
        <f>IF(Scenarios!E6=1, Q22*I22, I22)</f>
        <v>1386707.9039999999</v>
      </c>
      <c r="T22" s="2">
        <f>IF(C22="FY2026", (Scenarios!D6+Scenarios!E6)*BaselineCalc!$B$22, 0)</f>
        <v>0</v>
      </c>
      <c r="U22" s="2">
        <f t="shared" si="3"/>
        <v>5592549.3875999991</v>
      </c>
      <c r="V22" s="2">
        <f t="shared" si="4"/>
        <v>0</v>
      </c>
      <c r="W22" s="2">
        <f t="shared" si="5"/>
        <v>5592549.3875999991</v>
      </c>
      <c r="X22" s="2">
        <f t="shared" si="6"/>
        <v>10113.109199999999</v>
      </c>
      <c r="Y22" s="2">
        <f>INDEX(YearMap!$I$2:$I$6, MATCH(C22, YearMap!$A$2:$A$6, 0))</f>
        <v>5013</v>
      </c>
      <c r="Z22" s="2">
        <f t="shared" si="7"/>
        <v>2820360.3875999991</v>
      </c>
      <c r="AA22" s="2">
        <f t="shared" si="8"/>
        <v>5100.1091999999981</v>
      </c>
      <c r="AB22">
        <f>MAX(0, (MAX(0, $D22-BaselineCalc!$B$7) + MAX(0, $E22-BaselineCalc!$B$8)))</f>
        <v>0</v>
      </c>
      <c r="AC22">
        <f t="shared" si="9"/>
        <v>553</v>
      </c>
      <c r="AD22" s="2">
        <f t="shared" si="10"/>
        <v>2772189</v>
      </c>
      <c r="AE22" s="2">
        <f>W22 - (1-Other_Parameters!$B$2)*$G22*$AB22*$J22*(1-$K22)</f>
        <v>5592549.3875999991</v>
      </c>
      <c r="AF22" s="2">
        <f t="shared" si="11"/>
        <v>-2820360.3875999991</v>
      </c>
      <c r="AG22" t="str">
        <f t="shared" si="12"/>
        <v>D_CUSTOM2|FY2026</v>
      </c>
    </row>
    <row r="23" spans="1:33" x14ac:dyDescent="0.35">
      <c r="A23" t="str">
        <f t="shared" si="0"/>
        <v>D_CUSTOM2|FY2027</v>
      </c>
      <c r="B23" t="str">
        <f>Scenarios!A6</f>
        <v>D_CUSTOM2</v>
      </c>
      <c r="C23" t="s">
        <v>4</v>
      </c>
      <c r="D23">
        <f>IF(Scenarios!D6=1,0, L23)</f>
        <v>257</v>
      </c>
      <c r="E23">
        <f>IF(Scenarios!E6=1,0, M23)</f>
        <v>296</v>
      </c>
      <c r="F23">
        <f t="shared" si="1"/>
        <v>553</v>
      </c>
      <c r="G23" s="2">
        <f>YearMap!B3</f>
        <v>5637.0653999999995</v>
      </c>
      <c r="H23" s="2">
        <f>YearMap!C3</f>
        <v>1234099.7622</v>
      </c>
      <c r="I23" s="2">
        <f>YearMap!D3</f>
        <v>1421375.6015999999</v>
      </c>
      <c r="J23">
        <f>1-BaselineCalc!$B$5</f>
        <v>0.99299999999999999</v>
      </c>
      <c r="K23">
        <f>Scenarios!G6</f>
        <v>0</v>
      </c>
      <c r="L23">
        <f>BaselineCalc!$B$7 + ROUND(Scenarios!J6*Scenarios!F6,0)</f>
        <v>257</v>
      </c>
      <c r="M23">
        <f>BaselineCalc!$B$8 + Scenarios!J6 - ROUND(Scenarios!J6*Scenarios!F6,0)</f>
        <v>296</v>
      </c>
      <c r="N23" s="11">
        <f t="shared" si="2"/>
        <v>0</v>
      </c>
      <c r="O23" s="11">
        <f>BaselineCalc!$B$23 * N23</f>
        <v>0</v>
      </c>
      <c r="P23">
        <f>YearMap!E3</f>
        <v>800</v>
      </c>
      <c r="Q23">
        <f>IF(Scenarios!N6="lease", YearMap!F3, YearMap!G3)</f>
        <v>0.4</v>
      </c>
      <c r="R23" s="2">
        <f>IF(Scenarios!D6=1, Q23*H23, H23)</f>
        <v>1234099.7622</v>
      </c>
      <c r="S23" s="2">
        <f>IF(Scenarios!E6=1, Q23*I23, I23)</f>
        <v>1421375.6015999999</v>
      </c>
      <c r="T23" s="2">
        <f>IF(C23="FY2026", (Scenarios!D6+Scenarios!E6)*BaselineCalc!$B$22, 0)</f>
        <v>0</v>
      </c>
      <c r="U23" s="2">
        <f t="shared" si="3"/>
        <v>5732363.1222899994</v>
      </c>
      <c r="V23" s="2">
        <f t="shared" si="4"/>
        <v>0</v>
      </c>
      <c r="W23" s="2">
        <f t="shared" si="5"/>
        <v>5732363.1222899994</v>
      </c>
      <c r="X23" s="2">
        <f t="shared" si="6"/>
        <v>10365.936929999998</v>
      </c>
      <c r="Y23" s="2">
        <f>INDEX(YearMap!$I$2:$I$6, MATCH(C23, YearMap!$A$2:$A$6, 0))</f>
        <v>5113.26</v>
      </c>
      <c r="Z23" s="2">
        <f t="shared" si="7"/>
        <v>2904730.3422899991</v>
      </c>
      <c r="AA23" s="2">
        <f t="shared" si="8"/>
        <v>5252.6769299999987</v>
      </c>
      <c r="AB23">
        <f>MAX(0, (MAX(0, $D23-BaselineCalc!$B$7) + MAX(0, $E23-BaselineCalc!$B$8)))</f>
        <v>0</v>
      </c>
      <c r="AC23">
        <f t="shared" si="9"/>
        <v>553</v>
      </c>
      <c r="AD23" s="2">
        <f t="shared" si="10"/>
        <v>2827632.7800000003</v>
      </c>
      <c r="AE23" s="2">
        <f>W23 - (1-Other_Parameters!$B$2)*$G23*$AB23*$J23*(1-$K23)</f>
        <v>5732363.1222899994</v>
      </c>
      <c r="AF23" s="2">
        <f t="shared" si="11"/>
        <v>-2904730.3422899991</v>
      </c>
      <c r="AG23" t="str">
        <f t="shared" si="12"/>
        <v>D_CUSTOM2|FY2027</v>
      </c>
    </row>
    <row r="24" spans="1:33" x14ac:dyDescent="0.35">
      <c r="A24" t="str">
        <f t="shared" si="0"/>
        <v>D_CUSTOM2|FY2028</v>
      </c>
      <c r="B24" t="str">
        <f>Scenarios!A6</f>
        <v>D_CUSTOM2</v>
      </c>
      <c r="C24" t="s">
        <v>5</v>
      </c>
      <c r="D24">
        <f>IF(Scenarios!D6=1,0, L24)</f>
        <v>257</v>
      </c>
      <c r="E24">
        <f>IF(Scenarios!E6=1,0, M24)</f>
        <v>296</v>
      </c>
      <c r="F24">
        <f t="shared" si="1"/>
        <v>553</v>
      </c>
      <c r="G24" s="2">
        <f>YearMap!B4</f>
        <v>5777.9920349999993</v>
      </c>
      <c r="H24" s="2">
        <f>YearMap!C4</f>
        <v>1264952.2562550001</v>
      </c>
      <c r="I24" s="2">
        <f>YearMap!D4</f>
        <v>1456909.9916400001</v>
      </c>
      <c r="J24">
        <f>1-BaselineCalc!$B$5</f>
        <v>0.99299999999999999</v>
      </c>
      <c r="K24">
        <f>Scenarios!G6</f>
        <v>0</v>
      </c>
      <c r="L24">
        <f>BaselineCalc!$B$7 + ROUND(Scenarios!K6*Scenarios!F6,0)</f>
        <v>257</v>
      </c>
      <c r="M24">
        <f>BaselineCalc!$B$8 + Scenarios!K6 - ROUND(Scenarios!K6*Scenarios!F6,0)</f>
        <v>296</v>
      </c>
      <c r="N24" s="11">
        <f t="shared" si="2"/>
        <v>0</v>
      </c>
      <c r="O24" s="11">
        <f>BaselineCalc!$B$23 * N24</f>
        <v>0</v>
      </c>
      <c r="P24">
        <f>YearMap!E4</f>
        <v>600</v>
      </c>
      <c r="Q24">
        <f>IF(Scenarios!N6="lease", YearMap!F4, YearMap!G4)</f>
        <v>0.35</v>
      </c>
      <c r="R24" s="2">
        <f>IF(Scenarios!D6=1, Q24*H24, H24)</f>
        <v>1264952.2562550001</v>
      </c>
      <c r="S24" s="2">
        <f>IF(Scenarios!E6=1, Q24*I24, I24)</f>
        <v>1456909.9916400001</v>
      </c>
      <c r="T24" s="2">
        <f>IF(C24="FY2026", (Scenarios!D6+Scenarios!E6)*BaselineCalc!$B$22, 0)</f>
        <v>0</v>
      </c>
      <c r="U24" s="2">
        <f t="shared" si="3"/>
        <v>5875672.2003472503</v>
      </c>
      <c r="V24" s="2">
        <f t="shared" si="4"/>
        <v>0</v>
      </c>
      <c r="W24" s="2">
        <f t="shared" si="5"/>
        <v>5875672.2003472503</v>
      </c>
      <c r="X24" s="2">
        <f t="shared" si="6"/>
        <v>10625.08535325</v>
      </c>
      <c r="Y24" s="2">
        <f>INDEX(YearMap!$I$2:$I$6, MATCH(C24, YearMap!$A$2:$A$6, 0))</f>
        <v>5215.5252</v>
      </c>
      <c r="Z24" s="2">
        <f t="shared" si="7"/>
        <v>2991486.7647472504</v>
      </c>
      <c r="AA24" s="2">
        <f t="shared" si="8"/>
        <v>5409.5601532500004</v>
      </c>
      <c r="AB24">
        <f>MAX(0, (MAX(0, $D24-BaselineCalc!$B$7) + MAX(0, $E24-BaselineCalc!$B$8)))</f>
        <v>0</v>
      </c>
      <c r="AC24">
        <f t="shared" si="9"/>
        <v>553</v>
      </c>
      <c r="AD24" s="2">
        <f t="shared" si="10"/>
        <v>2884185.4356</v>
      </c>
      <c r="AE24" s="2">
        <f>W24 - (1-Other_Parameters!$B$2)*$G24*$AB24*$J24*(1-$K24)</f>
        <v>5875672.2003472503</v>
      </c>
      <c r="AF24" s="2">
        <f t="shared" si="11"/>
        <v>-2991486.7647472504</v>
      </c>
      <c r="AG24" t="str">
        <f t="shared" si="12"/>
        <v>D_CUSTOM2|FY2028</v>
      </c>
    </row>
    <row r="25" spans="1:33" x14ac:dyDescent="0.35">
      <c r="A25" t="str">
        <f t="shared" si="0"/>
        <v>D_CUSTOM2|FY2029</v>
      </c>
      <c r="B25" t="str">
        <f>Scenarios!A6</f>
        <v>D_CUSTOM2</v>
      </c>
      <c r="C25" t="s">
        <v>6</v>
      </c>
      <c r="D25">
        <f>IF(Scenarios!D6=1,0, L25)</f>
        <v>257</v>
      </c>
      <c r="E25">
        <f>IF(Scenarios!E6=1,0, M25)</f>
        <v>296</v>
      </c>
      <c r="F25">
        <f t="shared" si="1"/>
        <v>553</v>
      </c>
      <c r="G25" s="2">
        <f>YearMap!B5</f>
        <v>5922.4418358749981</v>
      </c>
      <c r="H25" s="2">
        <f>YearMap!C5</f>
        <v>1296576.0626613749</v>
      </c>
      <c r="I25" s="2">
        <f>YearMap!D5</f>
        <v>1493332.7414309999</v>
      </c>
      <c r="J25">
        <f>1-BaselineCalc!$B$5</f>
        <v>0.99299999999999999</v>
      </c>
      <c r="K25">
        <f>Scenarios!G6</f>
        <v>0</v>
      </c>
      <c r="L25">
        <f>BaselineCalc!$B$7 + ROUND(Scenarios!L6*Scenarios!F6,0)</f>
        <v>257</v>
      </c>
      <c r="M25">
        <f>BaselineCalc!$B$8 + Scenarios!L6 - ROUND(Scenarios!L6*Scenarios!F6,0)</f>
        <v>296</v>
      </c>
      <c r="N25" s="11">
        <f t="shared" si="2"/>
        <v>0</v>
      </c>
      <c r="O25" s="11">
        <f>BaselineCalc!$B$23 * N25</f>
        <v>0</v>
      </c>
      <c r="P25">
        <f>YearMap!E5</f>
        <v>500</v>
      </c>
      <c r="Q25">
        <f>IF(Scenarios!N6="lease", YearMap!F5, YearMap!G5)</f>
        <v>0.3</v>
      </c>
      <c r="R25" s="2">
        <f>IF(Scenarios!D6=1, Q25*H25, H25)</f>
        <v>1296576.0626613749</v>
      </c>
      <c r="S25" s="2">
        <f>IF(Scenarios!E6=1, Q25*I25, I25)</f>
        <v>1493332.7414309999</v>
      </c>
      <c r="T25" s="2">
        <f>IF(C25="FY2026", (Scenarios!D6+Scenarios!E6)*BaselineCalc!$B$22, 0)</f>
        <v>0</v>
      </c>
      <c r="U25" s="2">
        <f t="shared" si="3"/>
        <v>6022564.00535593</v>
      </c>
      <c r="V25" s="2">
        <f t="shared" si="4"/>
        <v>0</v>
      </c>
      <c r="W25" s="2">
        <f t="shared" si="5"/>
        <v>6022564.00535593</v>
      </c>
      <c r="X25" s="2">
        <f t="shared" si="6"/>
        <v>10890.712487081248</v>
      </c>
      <c r="Y25" s="2">
        <f>INDEX(YearMap!$I$2:$I$6, MATCH(C25, YearMap!$A$2:$A$6, 0))</f>
        <v>5319.8357040000001</v>
      </c>
      <c r="Z25" s="2">
        <f t="shared" si="7"/>
        <v>3080694.8610439301</v>
      </c>
      <c r="AA25" s="2">
        <f t="shared" si="8"/>
        <v>5570.8767830812476</v>
      </c>
      <c r="AB25">
        <f>MAX(0, (MAX(0, $D25-BaselineCalc!$B$7) + MAX(0, $E25-BaselineCalc!$B$8)))</f>
        <v>0</v>
      </c>
      <c r="AC25">
        <f t="shared" si="9"/>
        <v>553</v>
      </c>
      <c r="AD25" s="2">
        <f t="shared" si="10"/>
        <v>2941869.1443119999</v>
      </c>
      <c r="AE25" s="2">
        <f>W25 - (1-Other_Parameters!$B$2)*$G25*$AB25*$J25*(1-$K25)</f>
        <v>6022564.00535593</v>
      </c>
      <c r="AF25" s="2">
        <f t="shared" si="11"/>
        <v>-3080694.8610439301</v>
      </c>
      <c r="AG25" t="str">
        <f t="shared" si="12"/>
        <v>D_CUSTOM2|FY2029</v>
      </c>
    </row>
    <row r="26" spans="1:33" x14ac:dyDescent="0.35">
      <c r="A26" t="str">
        <f t="shared" si="0"/>
        <v>D_CUSTOM2|FY2030</v>
      </c>
      <c r="B26" t="str">
        <f>Scenarios!A6</f>
        <v>D_CUSTOM2</v>
      </c>
      <c r="C26" t="s">
        <v>7</v>
      </c>
      <c r="D26">
        <f>IF(Scenarios!D6=1,0, L26)</f>
        <v>257</v>
      </c>
      <c r="E26">
        <f>IF(Scenarios!E6=1,0, M26)</f>
        <v>296</v>
      </c>
      <c r="F26">
        <f t="shared" si="1"/>
        <v>553</v>
      </c>
      <c r="G26" s="2">
        <f>YearMap!B6</f>
        <v>6070.502881771873</v>
      </c>
      <c r="H26" s="2">
        <f>YearMap!C6</f>
        <v>1328990.4642279092</v>
      </c>
      <c r="I26" s="2">
        <f>YearMap!D6</f>
        <v>1530666.0599667749</v>
      </c>
      <c r="J26">
        <f>1-BaselineCalc!$B$5</f>
        <v>0.99299999999999999</v>
      </c>
      <c r="K26">
        <f>Scenarios!G6</f>
        <v>0</v>
      </c>
      <c r="L26">
        <f>BaselineCalc!$B$7 + ROUND(Scenarios!M6*Scenarios!F6,0)</f>
        <v>257</v>
      </c>
      <c r="M26">
        <f>BaselineCalc!$B$8 + Scenarios!M6 - ROUND(Scenarios!M6*Scenarios!F6,0)</f>
        <v>296</v>
      </c>
      <c r="N26" s="11">
        <f t="shared" si="2"/>
        <v>0</v>
      </c>
      <c r="O26" s="11">
        <f>BaselineCalc!$B$23 * N26</f>
        <v>0</v>
      </c>
      <c r="P26">
        <f>YearMap!E6</f>
        <v>300</v>
      </c>
      <c r="Q26">
        <f>IF(Scenarios!N6="lease", YearMap!F6, YearMap!G6)</f>
        <v>0.3</v>
      </c>
      <c r="R26" s="2">
        <f>IF(Scenarios!D6=1, Q26*H26, H26)</f>
        <v>1328990.4642279092</v>
      </c>
      <c r="S26" s="2">
        <f>IF(Scenarios!E6=1, Q26*I26, I26)</f>
        <v>1530666.0599667749</v>
      </c>
      <c r="T26" s="2">
        <f>IF(C26="FY2026", (Scenarios!D6+Scenarios!E6)*BaselineCalc!$B$22, 0)</f>
        <v>0</v>
      </c>
      <c r="U26" s="2">
        <f t="shared" si="3"/>
        <v>6173128.1054898277</v>
      </c>
      <c r="V26" s="2">
        <f t="shared" si="4"/>
        <v>0</v>
      </c>
      <c r="W26" s="2">
        <f t="shared" si="5"/>
        <v>6173128.1054898277</v>
      </c>
      <c r="X26" s="2">
        <f t="shared" si="6"/>
        <v>11162.980299258277</v>
      </c>
      <c r="Y26" s="2">
        <f>INDEX(YearMap!$I$2:$I$6, MATCH(C26, YearMap!$A$2:$A$6, 0))</f>
        <v>5426.2324180799997</v>
      </c>
      <c r="Z26" s="2">
        <f t="shared" si="7"/>
        <v>3172421.578291588</v>
      </c>
      <c r="AA26" s="2">
        <f t="shared" si="8"/>
        <v>5736.7478811782785</v>
      </c>
      <c r="AB26">
        <f>MAX(0, (MAX(0, $D26-BaselineCalc!$B$7) + MAX(0, $E26-BaselineCalc!$B$8)))</f>
        <v>0</v>
      </c>
      <c r="AC26">
        <f t="shared" si="9"/>
        <v>553</v>
      </c>
      <c r="AD26" s="2">
        <f t="shared" si="10"/>
        <v>3000706.5271982397</v>
      </c>
      <c r="AE26" s="2">
        <f>W26 - (1-Other_Parameters!$B$2)*$G26*$AB26*$J26*(1-$K26)</f>
        <v>6173128.1054898277</v>
      </c>
      <c r="AF26" s="2">
        <f t="shared" si="11"/>
        <v>-3172421.578291588</v>
      </c>
      <c r="AG26" t="str">
        <f t="shared" si="12"/>
        <v>D_CUSTOM2|FY2030</v>
      </c>
    </row>
    <row r="27" spans="1:33" x14ac:dyDescent="0.35">
      <c r="A27" t="str">
        <f t="shared" si="0"/>
        <v>G_EchoGHubRamp_PimaTargets|FY2026</v>
      </c>
      <c r="B27" t="str">
        <f>Scenarios!A7</f>
        <v>G_EchoGHubRamp_PimaTargets</v>
      </c>
      <c r="C27" t="s">
        <v>3</v>
      </c>
      <c r="D27">
        <f>IF(Scenarios!D7=1,0, L27)</f>
        <v>292</v>
      </c>
      <c r="E27">
        <f>IF(Scenarios!E7=1,0, M27)</f>
        <v>311</v>
      </c>
      <c r="F27">
        <f t="shared" si="1"/>
        <v>603</v>
      </c>
      <c r="G27" s="2">
        <f>YearMap!B2</f>
        <v>5499.5759999999991</v>
      </c>
      <c r="H27" s="2">
        <f>YearMap!C2</f>
        <v>1203999.7679999999</v>
      </c>
      <c r="I27" s="2">
        <f>YearMap!D2</f>
        <v>1386707.9039999999</v>
      </c>
      <c r="J27">
        <f>1-BaselineCalc!$B$5</f>
        <v>0.99299999999999999</v>
      </c>
      <c r="K27">
        <f>Scenarios!G7</f>
        <v>0</v>
      </c>
      <c r="L27">
        <f>BaselineCalc!$B$7 + ROUND(Scenarios!I7*Scenarios!F7,0)</f>
        <v>292</v>
      </c>
      <c r="M27">
        <f>BaselineCalc!$B$8 + Scenarios!I7 - ROUND(Scenarios!I7*Scenarios!F7,0)</f>
        <v>311</v>
      </c>
      <c r="N27" s="11">
        <f t="shared" si="2"/>
        <v>0</v>
      </c>
      <c r="O27" s="11">
        <f>BaselineCalc!$B$23 * N27</f>
        <v>0</v>
      </c>
      <c r="P27">
        <f>YearMap!E2</f>
        <v>1000</v>
      </c>
      <c r="Q27">
        <f>IF(Scenarios!N7="lease", YearMap!F2, YearMap!G2)</f>
        <v>0.5</v>
      </c>
      <c r="R27" s="2">
        <f>IF(Scenarios!D7=1, Q27*H27, H27)</f>
        <v>1203999.7679999999</v>
      </c>
      <c r="S27" s="2">
        <f>IF(Scenarios!E7=1, Q27*I27, I27)</f>
        <v>1386707.9039999999</v>
      </c>
      <c r="T27" s="2">
        <f>IF(C27="FY2026", (Scenarios!D7+Scenarios!E7)*BaselineCalc!$B$22, 0)</f>
        <v>0</v>
      </c>
      <c r="U27" s="2">
        <f t="shared" si="3"/>
        <v>5865603.3359999992</v>
      </c>
      <c r="V27" s="2">
        <f t="shared" si="4"/>
        <v>0</v>
      </c>
      <c r="W27" s="2">
        <f t="shared" si="5"/>
        <v>5865603.3359999992</v>
      </c>
      <c r="X27" s="2">
        <f t="shared" si="6"/>
        <v>9727.3687164179082</v>
      </c>
      <c r="Y27" s="2">
        <f>INDEX(YearMap!$I$2:$I$6, MATCH(C27, YearMap!$A$2:$A$6, 0))</f>
        <v>5013</v>
      </c>
      <c r="Z27" s="2">
        <f t="shared" si="7"/>
        <v>2842764.3359999992</v>
      </c>
      <c r="AA27" s="2">
        <f t="shared" si="8"/>
        <v>4714.3687164179091</v>
      </c>
      <c r="AB27">
        <f>MAX(0, (MAX(0, $D27-BaselineCalc!$B$7) + MAX(0, $E27-BaselineCalc!$B$8)))</f>
        <v>50</v>
      </c>
      <c r="AC27">
        <f t="shared" si="9"/>
        <v>603</v>
      </c>
      <c r="AD27" s="2">
        <f t="shared" si="10"/>
        <v>3022839</v>
      </c>
      <c r="AE27" s="2">
        <f>W27 - (1-Other_Parameters!$B$2)*$G27*$AB27*$J27*(1-$K27)</f>
        <v>5701770.9669599989</v>
      </c>
      <c r="AF27" s="2">
        <f t="shared" si="11"/>
        <v>-2678931.9669599989</v>
      </c>
      <c r="AG27" t="str">
        <f t="shared" si="12"/>
        <v>G_EchoGHubRamp_PimaTargets|FY2026</v>
      </c>
    </row>
    <row r="28" spans="1:33" x14ac:dyDescent="0.35">
      <c r="A28" t="str">
        <f t="shared" si="0"/>
        <v>G_EchoGHubRamp_PimaTargets|FY2027</v>
      </c>
      <c r="B28" t="str">
        <f>Scenarios!A7</f>
        <v>G_EchoGHubRamp_PimaTargets</v>
      </c>
      <c r="C28" t="s">
        <v>4</v>
      </c>
      <c r="D28">
        <f>IF(Scenarios!D7=1,0, L28)</f>
        <v>327</v>
      </c>
      <c r="E28">
        <f>IF(Scenarios!E7=1,0, M28)</f>
        <v>326</v>
      </c>
      <c r="F28">
        <f t="shared" si="1"/>
        <v>653</v>
      </c>
      <c r="G28" s="2">
        <f>YearMap!B3</f>
        <v>5637.0653999999995</v>
      </c>
      <c r="H28" s="2">
        <f>YearMap!C3</f>
        <v>1234099.7622</v>
      </c>
      <c r="I28" s="2">
        <f>YearMap!D3</f>
        <v>1421375.6015999999</v>
      </c>
      <c r="J28">
        <f>1-BaselineCalc!$B$5</f>
        <v>0.99299999999999999</v>
      </c>
      <c r="K28">
        <f>Scenarios!G7</f>
        <v>0</v>
      </c>
      <c r="L28">
        <f>BaselineCalc!$B$7 + ROUND(Scenarios!J7*Scenarios!F7,0)</f>
        <v>327</v>
      </c>
      <c r="M28">
        <f>BaselineCalc!$B$8 + Scenarios!J7 - ROUND(Scenarios!J7*Scenarios!F7,0)</f>
        <v>326</v>
      </c>
      <c r="N28" s="11">
        <f t="shared" si="2"/>
        <v>0</v>
      </c>
      <c r="O28" s="11">
        <f>BaselineCalc!$B$23 * N28</f>
        <v>0</v>
      </c>
      <c r="P28">
        <f>YearMap!E3</f>
        <v>800</v>
      </c>
      <c r="Q28">
        <f>IF(Scenarios!N7="lease", YearMap!F3, YearMap!G3)</f>
        <v>0.4</v>
      </c>
      <c r="R28" s="2">
        <f>IF(Scenarios!D7=1, Q28*H28, H28)</f>
        <v>1234099.7622</v>
      </c>
      <c r="S28" s="2">
        <f>IF(Scenarios!E7=1, Q28*I28, I28)</f>
        <v>1421375.6015999999</v>
      </c>
      <c r="T28" s="2">
        <f>IF(C28="FY2026", (Scenarios!D7+Scenarios!E7)*BaselineCalc!$B$22, 0)</f>
        <v>0</v>
      </c>
      <c r="U28" s="2">
        <f t="shared" si="3"/>
        <v>6292123.7165100006</v>
      </c>
      <c r="V28" s="2">
        <f t="shared" si="4"/>
        <v>0</v>
      </c>
      <c r="W28" s="2">
        <f t="shared" si="5"/>
        <v>6292123.7165100006</v>
      </c>
      <c r="X28" s="2">
        <f t="shared" si="6"/>
        <v>9635.7177894486995</v>
      </c>
      <c r="Y28" s="2">
        <f>INDEX(YearMap!$I$2:$I$6, MATCH(C28, YearMap!$A$2:$A$6, 0))</f>
        <v>5113.26</v>
      </c>
      <c r="Z28" s="2">
        <f t="shared" si="7"/>
        <v>2953164.9365100004</v>
      </c>
      <c r="AA28" s="2">
        <f t="shared" si="8"/>
        <v>4522.4577894486993</v>
      </c>
      <c r="AB28">
        <f>MAX(0, (MAX(0, $D28-BaselineCalc!$B$7) + MAX(0, $E28-BaselineCalc!$B$8)))</f>
        <v>100</v>
      </c>
      <c r="AC28">
        <f t="shared" si="9"/>
        <v>653</v>
      </c>
      <c r="AD28" s="2">
        <f t="shared" si="10"/>
        <v>3338958.7800000003</v>
      </c>
      <c r="AE28" s="2">
        <f>W28 - (1-Other_Parameters!$B$2)*$G28*$AB28*$J28*(1-$K28)</f>
        <v>5956267.3599780006</v>
      </c>
      <c r="AF28" s="2">
        <f t="shared" si="11"/>
        <v>-2617308.5799780004</v>
      </c>
      <c r="AG28" t="str">
        <f t="shared" si="12"/>
        <v>G_EchoGHubRamp_PimaTargets|FY2027</v>
      </c>
    </row>
    <row r="29" spans="1:33" x14ac:dyDescent="0.35">
      <c r="A29" t="str">
        <f t="shared" si="0"/>
        <v>G_EchoGHubRamp_PimaTargets|FY2028</v>
      </c>
      <c r="B29" t="str">
        <f>Scenarios!A7</f>
        <v>G_EchoGHubRamp_PimaTargets</v>
      </c>
      <c r="C29" t="s">
        <v>5</v>
      </c>
      <c r="D29">
        <f>IF(Scenarios!D7=1,0, L29)</f>
        <v>362</v>
      </c>
      <c r="E29">
        <f>IF(Scenarios!E7=1,0, M29)</f>
        <v>341</v>
      </c>
      <c r="F29">
        <f t="shared" si="1"/>
        <v>703</v>
      </c>
      <c r="G29" s="2">
        <f>YearMap!B4</f>
        <v>5777.9920349999993</v>
      </c>
      <c r="H29" s="2">
        <f>YearMap!C4</f>
        <v>1264952.2562550001</v>
      </c>
      <c r="I29" s="2">
        <f>YearMap!D4</f>
        <v>1456909.9916400001</v>
      </c>
      <c r="J29">
        <f>1-BaselineCalc!$B$5</f>
        <v>0.99299999999999999</v>
      </c>
      <c r="K29">
        <f>Scenarios!G7</f>
        <v>0</v>
      </c>
      <c r="L29">
        <f>BaselineCalc!$B$7 + ROUND(Scenarios!K7*Scenarios!F7,0)</f>
        <v>362</v>
      </c>
      <c r="M29">
        <f>BaselineCalc!$B$8 + Scenarios!K7 - ROUND(Scenarios!K7*Scenarios!F7,0)</f>
        <v>341</v>
      </c>
      <c r="N29" s="11">
        <f t="shared" si="2"/>
        <v>0</v>
      </c>
      <c r="O29" s="11">
        <f>BaselineCalc!$B$23 * N29</f>
        <v>0</v>
      </c>
      <c r="P29">
        <f>YearMap!E4</f>
        <v>600</v>
      </c>
      <c r="Q29">
        <f>IF(Scenarios!N7="lease", YearMap!F4, YearMap!G4)</f>
        <v>0.35</v>
      </c>
      <c r="R29" s="2">
        <f>IF(Scenarios!D7=1, Q29*H29, H29)</f>
        <v>1264952.2562550001</v>
      </c>
      <c r="S29" s="2">
        <f>IF(Scenarios!E7=1, Q29*I29, I29)</f>
        <v>1456909.9916400001</v>
      </c>
      <c r="T29" s="2">
        <f>IF(C29="FY2026", (Scenarios!D7+Scenarios!E7)*BaselineCalc!$B$22, 0)</f>
        <v>0</v>
      </c>
      <c r="U29" s="2">
        <f t="shared" si="3"/>
        <v>6736304.1139604999</v>
      </c>
      <c r="V29" s="2">
        <f t="shared" si="4"/>
        <v>0</v>
      </c>
      <c r="W29" s="2">
        <f t="shared" si="5"/>
        <v>6736304.1139604999</v>
      </c>
      <c r="X29" s="2">
        <f t="shared" si="6"/>
        <v>9582.2249131728313</v>
      </c>
      <c r="Y29" s="2">
        <f>INDEX(YearMap!$I$2:$I$6, MATCH(C29, YearMap!$A$2:$A$6, 0))</f>
        <v>5215.5252</v>
      </c>
      <c r="Z29" s="2">
        <f t="shared" si="7"/>
        <v>3069789.8983604996</v>
      </c>
      <c r="AA29" s="2">
        <f t="shared" si="8"/>
        <v>4366.6997131728303</v>
      </c>
      <c r="AB29">
        <f>MAX(0, (MAX(0, $D29-BaselineCalc!$B$7) + MAX(0, $E29-BaselineCalc!$B$8)))</f>
        <v>150</v>
      </c>
      <c r="AC29">
        <f t="shared" si="9"/>
        <v>703</v>
      </c>
      <c r="AD29" s="2">
        <f t="shared" si="10"/>
        <v>3666514.2156000002</v>
      </c>
      <c r="AE29" s="2">
        <f>W29 - (1-Other_Parameters!$B$2)*$G29*$AB29*$J29*(1-$K29)</f>
        <v>6219924.9657925498</v>
      </c>
      <c r="AF29" s="2">
        <f t="shared" si="11"/>
        <v>-2553410.7501925495</v>
      </c>
      <c r="AG29" t="str">
        <f t="shared" si="12"/>
        <v>G_EchoGHubRamp_PimaTargets|FY2028</v>
      </c>
    </row>
    <row r="30" spans="1:33" x14ac:dyDescent="0.35">
      <c r="A30" t="str">
        <f t="shared" si="0"/>
        <v>G_EchoGHubRamp_PimaTargets|FY2029</v>
      </c>
      <c r="B30" t="str">
        <f>Scenarios!A7</f>
        <v>G_EchoGHubRamp_PimaTargets</v>
      </c>
      <c r="C30" t="s">
        <v>6</v>
      </c>
      <c r="D30">
        <f>IF(Scenarios!D7=1,0, L30)</f>
        <v>362</v>
      </c>
      <c r="E30">
        <f>IF(Scenarios!E7=1,0, M30)</f>
        <v>341</v>
      </c>
      <c r="F30">
        <f t="shared" si="1"/>
        <v>703</v>
      </c>
      <c r="G30" s="2">
        <f>YearMap!B5</f>
        <v>5922.4418358749981</v>
      </c>
      <c r="H30" s="2">
        <f>YearMap!C5</f>
        <v>1296576.0626613749</v>
      </c>
      <c r="I30" s="2">
        <f>YearMap!D5</f>
        <v>1493332.7414309999</v>
      </c>
      <c r="J30">
        <f>1-BaselineCalc!$B$5</f>
        <v>0.99299999999999999</v>
      </c>
      <c r="K30">
        <f>Scenarios!G7</f>
        <v>0</v>
      </c>
      <c r="L30">
        <f>BaselineCalc!$B$7 + ROUND(Scenarios!L7*Scenarios!F7,0)</f>
        <v>362</v>
      </c>
      <c r="M30">
        <f>BaselineCalc!$B$8 + Scenarios!L7 - ROUND(Scenarios!L7*Scenarios!F7,0)</f>
        <v>341</v>
      </c>
      <c r="N30" s="11">
        <f t="shared" si="2"/>
        <v>0</v>
      </c>
      <c r="O30" s="11">
        <f>BaselineCalc!$B$23 * N30</f>
        <v>0</v>
      </c>
      <c r="P30">
        <f>YearMap!E5</f>
        <v>500</v>
      </c>
      <c r="Q30">
        <f>IF(Scenarios!N7="lease", YearMap!F5, YearMap!G5)</f>
        <v>0.3</v>
      </c>
      <c r="R30" s="2">
        <f>IF(Scenarios!D7=1, Q30*H30, H30)</f>
        <v>1296576.0626613749</v>
      </c>
      <c r="S30" s="2">
        <f>IF(Scenarios!E7=1, Q30*I30, I30)</f>
        <v>1493332.7414309999</v>
      </c>
      <c r="T30" s="2">
        <f>IF(C30="FY2026", (Scenarios!D7+Scenarios!E7)*BaselineCalc!$B$22, 0)</f>
        <v>0</v>
      </c>
      <c r="U30" s="2">
        <f t="shared" si="3"/>
        <v>6904711.7168095103</v>
      </c>
      <c r="V30" s="2">
        <f t="shared" si="4"/>
        <v>0</v>
      </c>
      <c r="W30" s="2">
        <f t="shared" si="5"/>
        <v>6904711.7168095103</v>
      </c>
      <c r="X30" s="2">
        <f t="shared" si="6"/>
        <v>9821.7805360021484</v>
      </c>
      <c r="Y30" s="2">
        <f>INDEX(YearMap!$I$2:$I$6, MATCH(C30, YearMap!$A$2:$A$6, 0))</f>
        <v>5319.8357040000001</v>
      </c>
      <c r="Z30" s="2">
        <f t="shared" si="7"/>
        <v>3164867.21689751</v>
      </c>
      <c r="AA30" s="2">
        <f t="shared" si="8"/>
        <v>4501.9448320021484</v>
      </c>
      <c r="AB30">
        <f>MAX(0, (MAX(0, $D30-BaselineCalc!$B$7) + MAX(0, $E30-BaselineCalc!$B$8)))</f>
        <v>150</v>
      </c>
      <c r="AC30">
        <f t="shared" si="9"/>
        <v>703</v>
      </c>
      <c r="AD30" s="2">
        <f t="shared" si="10"/>
        <v>3739844.4999120003</v>
      </c>
      <c r="AE30" s="2">
        <f>W30 - (1-Other_Parameters!$B$2)*$G30*$AB30*$J30*(1-$K30)</f>
        <v>6375423.0899373619</v>
      </c>
      <c r="AF30" s="2">
        <f t="shared" si="11"/>
        <v>-2635578.5900253616</v>
      </c>
      <c r="AG30" t="str">
        <f t="shared" si="12"/>
        <v>G_EchoGHubRamp_PimaTargets|FY2029</v>
      </c>
    </row>
    <row r="31" spans="1:33" x14ac:dyDescent="0.35">
      <c r="A31" t="str">
        <f t="shared" si="0"/>
        <v>G_EchoGHubRamp_PimaTargets|FY2030</v>
      </c>
      <c r="B31" t="str">
        <f>Scenarios!A7</f>
        <v>G_EchoGHubRamp_PimaTargets</v>
      </c>
      <c r="C31" t="s">
        <v>7</v>
      </c>
      <c r="D31">
        <f>IF(Scenarios!D7=1,0, L31)</f>
        <v>362</v>
      </c>
      <c r="E31">
        <f>IF(Scenarios!E7=1,0, M31)</f>
        <v>341</v>
      </c>
      <c r="F31">
        <f t="shared" si="1"/>
        <v>703</v>
      </c>
      <c r="G31" s="2">
        <f>YearMap!B6</f>
        <v>6070.502881771873</v>
      </c>
      <c r="H31" s="2">
        <f>YearMap!C6</f>
        <v>1328990.4642279092</v>
      </c>
      <c r="I31" s="2">
        <f>YearMap!D6</f>
        <v>1530666.0599667749</v>
      </c>
      <c r="J31">
        <f>1-BaselineCalc!$B$5</f>
        <v>0.99299999999999999</v>
      </c>
      <c r="K31">
        <f>Scenarios!G7</f>
        <v>0</v>
      </c>
      <c r="L31">
        <f>BaselineCalc!$B$7 + ROUND(Scenarios!M7*Scenarios!F7,0)</f>
        <v>362</v>
      </c>
      <c r="M31">
        <f>BaselineCalc!$B$8 + Scenarios!M7 - ROUND(Scenarios!M7*Scenarios!F7,0)</f>
        <v>341</v>
      </c>
      <c r="N31" s="11">
        <f t="shared" si="2"/>
        <v>0</v>
      </c>
      <c r="O31" s="11">
        <f>BaselineCalc!$B$23 * N31</f>
        <v>0</v>
      </c>
      <c r="P31">
        <f>YearMap!E6</f>
        <v>300</v>
      </c>
      <c r="Q31">
        <f>IF(Scenarios!N7="lease", YearMap!F6, YearMap!G6)</f>
        <v>0.3</v>
      </c>
      <c r="R31" s="2">
        <f>IF(Scenarios!D7=1, Q31*H31, H31)</f>
        <v>1328990.4642279092</v>
      </c>
      <c r="S31" s="2">
        <f>IF(Scenarios!E7=1, Q31*I31, I31)</f>
        <v>1530666.0599667749</v>
      </c>
      <c r="T31" s="2">
        <f>IF(C31="FY2026", (Scenarios!D7+Scenarios!E7)*BaselineCalc!$B$22, 0)</f>
        <v>0</v>
      </c>
      <c r="U31" s="2">
        <f>(R31+S31+G31*F31)*J31*(1-K31)</f>
        <v>7077329.5097297486</v>
      </c>
      <c r="V31" s="2">
        <f t="shared" si="4"/>
        <v>0</v>
      </c>
      <c r="W31" s="2">
        <f>U31+V31+T31</f>
        <v>7077329.5097297486</v>
      </c>
      <c r="X31" s="2">
        <f t="shared" si="6"/>
        <v>10067.325049402203</v>
      </c>
      <c r="Y31" s="2">
        <f>INDEX(YearMap!$I$2:$I$6, MATCH(C31, YearMap!$A$2:$A$6, 0))</f>
        <v>5426.2324180799997</v>
      </c>
      <c r="Z31" s="2">
        <f t="shared" si="7"/>
        <v>3262688.1198195089</v>
      </c>
      <c r="AA31" s="2">
        <f t="shared" si="8"/>
        <v>4641.0926313222035</v>
      </c>
      <c r="AB31">
        <f>MAX(0, (MAX(0, $D31-BaselineCalc!$B$7) + MAX(0, $E31-BaselineCalc!$B$8)))</f>
        <v>150</v>
      </c>
      <c r="AC31">
        <f t="shared" si="9"/>
        <v>703</v>
      </c>
      <c r="AD31" s="2">
        <f t="shared" si="10"/>
        <v>3814641.3899102397</v>
      </c>
      <c r="AE31" s="2">
        <f>W31 - (1-Other_Parameters!$B$2)*$G31*$AB31*$J31*(1-$K31)</f>
        <v>6534808.6671857964</v>
      </c>
      <c r="AF31" s="2">
        <f t="shared" si="11"/>
        <v>-2720167.2772755567</v>
      </c>
      <c r="AG31" t="str">
        <f t="shared" si="12"/>
        <v>G_EchoGHubRamp_PimaTargets|FY2030</v>
      </c>
    </row>
    <row r="32" spans="1:33" x14ac:dyDescent="0.35">
      <c r="A32" t="str">
        <f t="shared" si="0"/>
        <v>A_Repurpose_Both_lease|FY2026</v>
      </c>
      <c r="B32" t="str">
        <f>Scenarios!A8</f>
        <v>A_Repurpose_Both_lease</v>
      </c>
      <c r="C32" t="s">
        <v>3</v>
      </c>
      <c r="D32">
        <f>IF(Scenarios!D8=1,0, L32)</f>
        <v>0</v>
      </c>
      <c r="E32">
        <f>IF(Scenarios!E8=1,0, M32)</f>
        <v>0</v>
      </c>
      <c r="F32">
        <f t="shared" si="1"/>
        <v>0</v>
      </c>
      <c r="G32" s="2">
        <f>YearMap!B2</f>
        <v>5499.5759999999991</v>
      </c>
      <c r="H32" s="2">
        <f>YearMap!C2</f>
        <v>1203999.7679999999</v>
      </c>
      <c r="I32" s="2">
        <f>YearMap!D2</f>
        <v>1386707.9039999999</v>
      </c>
      <c r="J32">
        <f>1-BaselineCalc!$B$5</f>
        <v>0.99299999999999999</v>
      </c>
      <c r="K32">
        <f>Scenarios!G8</f>
        <v>0</v>
      </c>
      <c r="L32">
        <f>BaselineCalc!$B$7 + ROUND(Scenarios!I8*Scenarios!F8,0)</f>
        <v>257</v>
      </c>
      <c r="M32">
        <f>BaselineCalc!$B$8 + Scenarios!I8 - ROUND(Scenarios!I8*Scenarios!F8,0)</f>
        <v>296</v>
      </c>
      <c r="N32" s="11">
        <f t="shared" si="2"/>
        <v>553</v>
      </c>
      <c r="O32" s="11">
        <f>BaselineCalc!$B$23 * N32</f>
        <v>414.75</v>
      </c>
      <c r="P32">
        <f>YearMap!E2</f>
        <v>1000</v>
      </c>
      <c r="Q32">
        <f>IF(Scenarios!N8="lease", YearMap!F2, YearMap!G2)</f>
        <v>0.4</v>
      </c>
      <c r="R32" s="2">
        <f>IF(Scenarios!D8=1, Q32*H32, H32)</f>
        <v>481599.90720000002</v>
      </c>
      <c r="S32" s="2">
        <f>IF(Scenarios!E8=1, Q32*I32, I32)</f>
        <v>554683.16159999999</v>
      </c>
      <c r="T32" s="2">
        <f>IF(C32="FY2026", (Scenarios!D8+Scenarios!E8)*BaselineCalc!$B$22, 0)</f>
        <v>2400000</v>
      </c>
      <c r="U32" s="2">
        <f>(R32+S32+G32*F32)*J32*(1-K32)</f>
        <v>1029029.0873184</v>
      </c>
      <c r="V32" s="2">
        <f t="shared" si="4"/>
        <v>2695699.1459999997</v>
      </c>
      <c r="W32" s="2">
        <f t="shared" si="5"/>
        <v>6124728.2333183996</v>
      </c>
      <c r="X32" s="2">
        <f t="shared" si="6"/>
        <v>14767.277235246293</v>
      </c>
      <c r="Y32" s="2">
        <f>INDEX(YearMap!$I$2:$I$6, MATCH(C32, YearMap!$A$2:$A$6, 0))</f>
        <v>5013</v>
      </c>
      <c r="Z32" s="2">
        <f t="shared" si="7"/>
        <v>4045586.4833183996</v>
      </c>
      <c r="AA32" s="2">
        <f t="shared" si="8"/>
        <v>9754.2772352462925</v>
      </c>
      <c r="AB32">
        <f>MAX(0, (MAX(0, $D32-BaselineCalc!$B$7) + MAX(0, $E32-BaselineCalc!$B$8)))</f>
        <v>0</v>
      </c>
      <c r="AC32">
        <f t="shared" si="9"/>
        <v>414.75</v>
      </c>
      <c r="AD32" s="2">
        <f t="shared" si="10"/>
        <v>2079141.75</v>
      </c>
      <c r="AE32" s="2">
        <f>W32 - (1-Other_Parameters!$B$2)*$G32*$AB32*$J32*(1-$K32)</f>
        <v>6124728.2333183996</v>
      </c>
      <c r="AF32" s="2">
        <f t="shared" si="11"/>
        <v>-4045586.4833183996</v>
      </c>
      <c r="AG32" t="str">
        <f t="shared" si="12"/>
        <v>A_Repurpose_Both_lease|FY2026</v>
      </c>
    </row>
    <row r="33" spans="1:33" x14ac:dyDescent="0.35">
      <c r="A33" t="str">
        <f t="shared" ref="A33:A61" si="13">AG33</f>
        <v>A_Repurpose_Both_lease|FY2027</v>
      </c>
      <c r="B33" t="str">
        <f>Scenarios!A8</f>
        <v>A_Repurpose_Both_lease</v>
      </c>
      <c r="C33" t="s">
        <v>4</v>
      </c>
      <c r="D33">
        <f>IF(Scenarios!D8=1,0, L33)</f>
        <v>0</v>
      </c>
      <c r="E33">
        <f>IF(Scenarios!E8=1,0, M33)</f>
        <v>0</v>
      </c>
      <c r="F33">
        <f t="shared" si="1"/>
        <v>0</v>
      </c>
      <c r="G33" s="2">
        <f>YearMap!B3</f>
        <v>5637.0653999999995</v>
      </c>
      <c r="H33" s="2">
        <f>YearMap!C3</f>
        <v>1234099.7622</v>
      </c>
      <c r="I33" s="2">
        <f>YearMap!D3</f>
        <v>1421375.6015999999</v>
      </c>
      <c r="J33">
        <f>1-BaselineCalc!$B$5</f>
        <v>0.99299999999999999</v>
      </c>
      <c r="K33">
        <f>Scenarios!G8</f>
        <v>0</v>
      </c>
      <c r="L33">
        <f>BaselineCalc!$B$7 + ROUND(Scenarios!J8*Scenarios!F8,0)</f>
        <v>257</v>
      </c>
      <c r="M33">
        <f>BaselineCalc!$B$8 + Scenarios!J8 - ROUND(Scenarios!J8*Scenarios!F8,0)</f>
        <v>296</v>
      </c>
      <c r="N33" s="11">
        <f t="shared" si="2"/>
        <v>553</v>
      </c>
      <c r="O33" s="11">
        <f>BaselineCalc!$B$23 * N33</f>
        <v>414.75</v>
      </c>
      <c r="P33">
        <f>YearMap!E3</f>
        <v>800</v>
      </c>
      <c r="Q33">
        <f>IF(Scenarios!N8="lease", YearMap!F3, YearMap!G3)</f>
        <v>0.3</v>
      </c>
      <c r="R33" s="2">
        <f>IF(Scenarios!D8=1, Q33*H33, H33)</f>
        <v>370229.92865999998</v>
      </c>
      <c r="S33" s="2">
        <f>IF(Scenarios!E8=1, Q33*I33, I33)</f>
        <v>426412.68047999998</v>
      </c>
      <c r="T33" s="2">
        <f>IF(C33="FY2026", (Scenarios!D8+Scenarios!E8)*BaselineCalc!$B$22, 0)</f>
        <v>0</v>
      </c>
      <c r="U33" s="2">
        <f t="shared" si="3"/>
        <v>791066.11087601993</v>
      </c>
      <c r="V33" s="2">
        <f t="shared" si="4"/>
        <v>2669772.8746499997</v>
      </c>
      <c r="W33" s="2">
        <f t="shared" si="5"/>
        <v>3460838.9855260197</v>
      </c>
      <c r="X33" s="2">
        <f t="shared" si="6"/>
        <v>8344.3977951199995</v>
      </c>
      <c r="Y33" s="2">
        <f>INDEX(YearMap!$I$2:$I$6, MATCH(C33, YearMap!$A$2:$A$6, 0))</f>
        <v>5113.26</v>
      </c>
      <c r="Z33" s="2">
        <f t="shared" si="7"/>
        <v>1340114.4005260197</v>
      </c>
      <c r="AA33" s="2">
        <f t="shared" si="8"/>
        <v>3231.1377951199993</v>
      </c>
      <c r="AB33">
        <f>MAX(0, (MAX(0, $D33-BaselineCalc!$B$7) + MAX(0, $E33-BaselineCalc!$B$8)))</f>
        <v>0</v>
      </c>
      <c r="AC33">
        <f t="shared" si="9"/>
        <v>414.75</v>
      </c>
      <c r="AD33" s="2">
        <f t="shared" si="10"/>
        <v>2120724.585</v>
      </c>
      <c r="AE33" s="2">
        <f>W33 - (1-Other_Parameters!$B$2)*$G33*$AB33*$J33*(1-$K33)</f>
        <v>3460838.9855260197</v>
      </c>
      <c r="AF33" s="2">
        <f t="shared" si="11"/>
        <v>-1340114.4005260197</v>
      </c>
      <c r="AG33" t="str">
        <f t="shared" si="12"/>
        <v>A_Repurpose_Both_lease|FY2027</v>
      </c>
    </row>
    <row r="34" spans="1:33" x14ac:dyDescent="0.35">
      <c r="A34" t="str">
        <f t="shared" si="13"/>
        <v>A_Repurpose_Both_lease|FY2028</v>
      </c>
      <c r="B34" t="str">
        <f>Scenarios!A8</f>
        <v>A_Repurpose_Both_lease</v>
      </c>
      <c r="C34" t="s">
        <v>5</v>
      </c>
      <c r="D34">
        <f>IF(Scenarios!D8=1,0, L34)</f>
        <v>0</v>
      </c>
      <c r="E34">
        <f>IF(Scenarios!E8=1,0, M34)</f>
        <v>0</v>
      </c>
      <c r="F34">
        <f t="shared" ref="F34:F61" si="14">D34+E34</f>
        <v>0</v>
      </c>
      <c r="G34" s="2">
        <f>YearMap!B4</f>
        <v>5777.9920349999993</v>
      </c>
      <c r="H34" s="2">
        <f>YearMap!C4</f>
        <v>1264952.2562550001</v>
      </c>
      <c r="I34" s="2">
        <f>YearMap!D4</f>
        <v>1456909.9916400001</v>
      </c>
      <c r="J34">
        <f>1-BaselineCalc!$B$5</f>
        <v>0.99299999999999999</v>
      </c>
      <c r="K34">
        <f>Scenarios!G8</f>
        <v>0</v>
      </c>
      <c r="L34">
        <f>BaselineCalc!$B$7 + ROUND(Scenarios!K8*Scenarios!F8,0)</f>
        <v>257</v>
      </c>
      <c r="M34">
        <f>BaselineCalc!$B$8 + Scenarios!K8 - ROUND(Scenarios!K8*Scenarios!F8,0)</f>
        <v>296</v>
      </c>
      <c r="N34" s="11">
        <f t="shared" ref="N34:N61" si="15">(L34-D34) + (M34-E34)</f>
        <v>553</v>
      </c>
      <c r="O34" s="11">
        <f>BaselineCalc!$B$23 * N34</f>
        <v>414.75</v>
      </c>
      <c r="P34">
        <f>YearMap!E4</f>
        <v>600</v>
      </c>
      <c r="Q34">
        <f>IF(Scenarios!N8="lease", YearMap!F4, YearMap!G4)</f>
        <v>0.2</v>
      </c>
      <c r="R34" s="2">
        <f>IF(Scenarios!D8=1, Q34*H34, H34)</f>
        <v>252990.45125100005</v>
      </c>
      <c r="S34" s="2">
        <f>IF(Scenarios!E8=1, Q34*I34, I34)</f>
        <v>291381.99832800002</v>
      </c>
      <c r="T34" s="2">
        <f>IF(C34="FY2026", (Scenarios!D8+Scenarios!E8)*BaselineCalc!$B$22, 0)</f>
        <v>0</v>
      </c>
      <c r="U34" s="2">
        <f t="shared" ref="U34:U61" si="16">(R34+S34+G34*F34)*J34*(1-K34)</f>
        <v>540561.84243194701</v>
      </c>
      <c r="V34" s="2">
        <f t="shared" ref="V34:V61" si="17">O34*(G34+P34)</f>
        <v>2645272.1965162498</v>
      </c>
      <c r="W34" s="2">
        <f t="shared" ref="W34:W61" si="18">U34+V34+T34</f>
        <v>3185834.0389481969</v>
      </c>
      <c r="X34" s="2">
        <f t="shared" ref="X34:X61" si="19">IF(F34+O34&gt;0, W34/(F34+O34),"")</f>
        <v>7681.3358383320001</v>
      </c>
      <c r="Y34" s="2">
        <f>INDEX(YearMap!$I$2:$I$6, MATCH(C34, YearMap!$A$2:$A$6, 0))</f>
        <v>5215.5252</v>
      </c>
      <c r="Z34" s="2">
        <f t="shared" ref="Z34:Z61" si="20">$W34-$Y34*$AC34</f>
        <v>1022694.9622481968</v>
      </c>
      <c r="AA34" s="2">
        <f t="shared" ref="AA34:AA61" si="21">IF($AC34&gt;0, $Z34/$AC34, 0)</f>
        <v>2465.8106383319996</v>
      </c>
      <c r="AB34">
        <f>MAX(0, (MAX(0, $D34-BaselineCalc!$B$7) + MAX(0, $E34-BaselineCalc!$B$8)))</f>
        <v>0</v>
      </c>
      <c r="AC34">
        <f t="shared" ref="AC34:AC61" si="22">IF(LEFT($B34,2)="A_", $O34, IF(LEFT($B34,2)="B_", $M34+$O34, IF(LEFT($B34,2)="C_", $L34+$O34, $F34)))</f>
        <v>414.75</v>
      </c>
      <c r="AD34" s="2">
        <f t="shared" ref="AD34:AD61" si="23">$Y34*$AC34</f>
        <v>2163139.0767000001</v>
      </c>
      <c r="AE34" s="2">
        <f>W34 - (1-Other_Parameters!$B$2)*$G34*$AB34*$J34*(1-$K34)</f>
        <v>3185834.0389481969</v>
      </c>
      <c r="AF34" s="2">
        <f t="shared" ref="AF34:AF61" si="24">AD34-AE34</f>
        <v>-1022694.9622481968</v>
      </c>
      <c r="AG34" t="str">
        <f t="shared" ref="AG34:AG61" si="25">B34&amp;"|"&amp;C34</f>
        <v>A_Repurpose_Both_lease|FY2028</v>
      </c>
    </row>
    <row r="35" spans="1:33" x14ac:dyDescent="0.35">
      <c r="A35" t="str">
        <f t="shared" si="13"/>
        <v>A_Repurpose_Both_lease|FY2029</v>
      </c>
      <c r="B35" t="str">
        <f>Scenarios!A8</f>
        <v>A_Repurpose_Both_lease</v>
      </c>
      <c r="C35" t="s">
        <v>6</v>
      </c>
      <c r="D35">
        <f>IF(Scenarios!D8=1,0, L35)</f>
        <v>0</v>
      </c>
      <c r="E35">
        <f>IF(Scenarios!E8=1,0, M35)</f>
        <v>0</v>
      </c>
      <c r="F35">
        <f t="shared" si="14"/>
        <v>0</v>
      </c>
      <c r="G35" s="2">
        <f>YearMap!B5</f>
        <v>5922.4418358749981</v>
      </c>
      <c r="H35" s="2">
        <f>YearMap!C5</f>
        <v>1296576.0626613749</v>
      </c>
      <c r="I35" s="2">
        <f>YearMap!D5</f>
        <v>1493332.7414309999</v>
      </c>
      <c r="J35">
        <f>1-BaselineCalc!$B$5</f>
        <v>0.99299999999999999</v>
      </c>
      <c r="K35">
        <f>Scenarios!G8</f>
        <v>0</v>
      </c>
      <c r="L35">
        <f>BaselineCalc!$B$7 + ROUND(Scenarios!L8*Scenarios!F8,0)</f>
        <v>257</v>
      </c>
      <c r="M35">
        <f>BaselineCalc!$B$8 + Scenarios!L8 - ROUND(Scenarios!L8*Scenarios!F8,0)</f>
        <v>296</v>
      </c>
      <c r="N35" s="11">
        <f t="shared" si="15"/>
        <v>553</v>
      </c>
      <c r="O35" s="11">
        <f>BaselineCalc!$B$23 * N35</f>
        <v>414.75</v>
      </c>
      <c r="P35">
        <f>YearMap!E5</f>
        <v>500</v>
      </c>
      <c r="Q35">
        <f>IF(Scenarios!N8="lease", YearMap!F5, YearMap!G5)</f>
        <v>0.1</v>
      </c>
      <c r="R35" s="2">
        <f>IF(Scenarios!D8=1, Q35*H35, H35)</f>
        <v>129657.6062661375</v>
      </c>
      <c r="S35" s="2">
        <f>IF(Scenarios!E8=1, Q35*I35, I35)</f>
        <v>149333.27414309999</v>
      </c>
      <c r="T35" s="2">
        <f>IF(C35="FY2026", (Scenarios!D8+Scenarios!E8)*BaselineCalc!$B$22, 0)</f>
        <v>0</v>
      </c>
      <c r="U35" s="2">
        <f t="shared" si="16"/>
        <v>277037.94424637279</v>
      </c>
      <c r="V35" s="2">
        <f t="shared" si="17"/>
        <v>2663707.7514291555</v>
      </c>
      <c r="W35" s="2">
        <f t="shared" si="18"/>
        <v>2940745.6956755281</v>
      </c>
      <c r="X35" s="2">
        <f t="shared" si="19"/>
        <v>7090.4055350826475</v>
      </c>
      <c r="Y35" s="2">
        <f>INDEX(YearMap!$I$2:$I$6, MATCH(C35, YearMap!$A$2:$A$6, 0))</f>
        <v>5319.8357040000001</v>
      </c>
      <c r="Z35" s="2">
        <f t="shared" si="20"/>
        <v>734343.83744152822</v>
      </c>
      <c r="AA35" s="2">
        <f t="shared" si="21"/>
        <v>1770.5698310826479</v>
      </c>
      <c r="AB35">
        <f>MAX(0, (MAX(0, $D35-BaselineCalc!$B$7) + MAX(0, $E35-BaselineCalc!$B$8)))</f>
        <v>0</v>
      </c>
      <c r="AC35">
        <f t="shared" si="22"/>
        <v>414.75</v>
      </c>
      <c r="AD35" s="2">
        <f t="shared" si="23"/>
        <v>2206401.8582339999</v>
      </c>
      <c r="AE35" s="2">
        <f>W35 - (1-Other_Parameters!$B$2)*$G35*$AB35*$J35*(1-$K35)</f>
        <v>2940745.6956755281</v>
      </c>
      <c r="AF35" s="2">
        <f t="shared" si="24"/>
        <v>-734343.83744152822</v>
      </c>
      <c r="AG35" t="str">
        <f t="shared" si="25"/>
        <v>A_Repurpose_Both_lease|FY2029</v>
      </c>
    </row>
    <row r="36" spans="1:33" x14ac:dyDescent="0.35">
      <c r="A36" t="str">
        <f t="shared" si="13"/>
        <v>A_Repurpose_Both_lease|FY2030</v>
      </c>
      <c r="B36" t="str">
        <f>Scenarios!A8</f>
        <v>A_Repurpose_Both_lease</v>
      </c>
      <c r="C36" t="s">
        <v>7</v>
      </c>
      <c r="D36">
        <f>IF(Scenarios!D8=1,0, L36)</f>
        <v>0</v>
      </c>
      <c r="E36">
        <f>IF(Scenarios!E8=1,0, M36)</f>
        <v>0</v>
      </c>
      <c r="F36">
        <f t="shared" si="14"/>
        <v>0</v>
      </c>
      <c r="G36" s="2">
        <f>YearMap!B6</f>
        <v>6070.502881771873</v>
      </c>
      <c r="H36" s="2">
        <f>YearMap!C6</f>
        <v>1328990.4642279092</v>
      </c>
      <c r="I36" s="2">
        <f>YearMap!D6</f>
        <v>1530666.0599667749</v>
      </c>
      <c r="J36">
        <f>1-BaselineCalc!$B$5</f>
        <v>0.99299999999999999</v>
      </c>
      <c r="K36">
        <f>Scenarios!G8</f>
        <v>0</v>
      </c>
      <c r="L36">
        <f>BaselineCalc!$B$7 + ROUND(Scenarios!M8*Scenarios!F8,0)</f>
        <v>257</v>
      </c>
      <c r="M36">
        <f>BaselineCalc!$B$8 + Scenarios!M8 - ROUND(Scenarios!M8*Scenarios!F8,0)</f>
        <v>296</v>
      </c>
      <c r="N36" s="11">
        <f t="shared" si="15"/>
        <v>553</v>
      </c>
      <c r="O36" s="11">
        <f>BaselineCalc!$B$23 * N36</f>
        <v>414.75</v>
      </c>
      <c r="P36">
        <f>YearMap!E6</f>
        <v>300</v>
      </c>
      <c r="Q36">
        <f>IF(Scenarios!N8="lease", YearMap!F6, YearMap!G6)</f>
        <v>0.1</v>
      </c>
      <c r="R36" s="2">
        <f>IF(Scenarios!D8=1, Q36*H36, H36)</f>
        <v>132899.04642279094</v>
      </c>
      <c r="S36" s="2">
        <f>IF(Scenarios!E8=1, Q36*I36, I36)</f>
        <v>153066.60599667751</v>
      </c>
      <c r="T36" s="2">
        <f>IF(C36="FY2026", (Scenarios!D8+Scenarios!E8)*BaselineCalc!$B$22, 0)</f>
        <v>0</v>
      </c>
      <c r="U36" s="2">
        <f t="shared" si="16"/>
        <v>283963.89285253215</v>
      </c>
      <c r="V36" s="2">
        <f t="shared" si="17"/>
        <v>2642166.0702148844</v>
      </c>
      <c r="W36" s="2">
        <f t="shared" si="18"/>
        <v>2926129.9630674166</v>
      </c>
      <c r="X36" s="2">
        <f t="shared" si="19"/>
        <v>7055.1656734597145</v>
      </c>
      <c r="Y36" s="2">
        <f>INDEX(YearMap!$I$2:$I$6, MATCH(C36, YearMap!$A$2:$A$6, 0))</f>
        <v>5426.2324180799997</v>
      </c>
      <c r="Z36" s="2">
        <f t="shared" si="20"/>
        <v>675600.06766873691</v>
      </c>
      <c r="AA36" s="2">
        <f t="shared" si="21"/>
        <v>1628.9332553797153</v>
      </c>
      <c r="AB36">
        <f>MAX(0, (MAX(0, $D36-BaselineCalc!$B$7) + MAX(0, $E36-BaselineCalc!$B$8)))</f>
        <v>0</v>
      </c>
      <c r="AC36">
        <f t="shared" si="22"/>
        <v>414.75</v>
      </c>
      <c r="AD36" s="2">
        <f t="shared" si="23"/>
        <v>2250529.8953986797</v>
      </c>
      <c r="AE36" s="2">
        <f>W36 - (1-Other_Parameters!$B$2)*$G36*$AB36*$J36*(1-$K36)</f>
        <v>2926129.9630674166</v>
      </c>
      <c r="AF36" s="2">
        <f t="shared" si="24"/>
        <v>-675600.06766873691</v>
      </c>
      <c r="AG36" t="str">
        <f t="shared" si="25"/>
        <v>A_Repurpose_Both_lease|FY2030</v>
      </c>
    </row>
    <row r="37" spans="1:33" x14ac:dyDescent="0.35">
      <c r="A37" t="str">
        <f t="shared" si="13"/>
        <v>A_Repurpose_Both_ops|FY2026</v>
      </c>
      <c r="B37" t="str">
        <f>Scenarios!A9</f>
        <v>A_Repurpose_Both_ops</v>
      </c>
      <c r="C37" t="s">
        <v>3</v>
      </c>
      <c r="D37">
        <f>IF(Scenarios!D9=1,0, L37)</f>
        <v>0</v>
      </c>
      <c r="E37">
        <f>IF(Scenarios!E9=1,0, M37)</f>
        <v>0</v>
      </c>
      <c r="F37">
        <f t="shared" si="14"/>
        <v>0</v>
      </c>
      <c r="G37" s="2">
        <f>YearMap!B2</f>
        <v>5499.5759999999991</v>
      </c>
      <c r="H37" s="2">
        <f>YearMap!C2</f>
        <v>1203999.7679999999</v>
      </c>
      <c r="I37" s="2">
        <f>YearMap!D2</f>
        <v>1386707.9039999999</v>
      </c>
      <c r="J37">
        <f>1-BaselineCalc!$B$5</f>
        <v>0.99299999999999999</v>
      </c>
      <c r="K37">
        <f>Scenarios!G9</f>
        <v>0</v>
      </c>
      <c r="L37">
        <f>BaselineCalc!$B$7 + ROUND(Scenarios!I9*Scenarios!F9,0)</f>
        <v>257</v>
      </c>
      <c r="M37">
        <f>BaselineCalc!$B$8 + Scenarios!I9 - ROUND(Scenarios!I9*Scenarios!F9,0)</f>
        <v>296</v>
      </c>
      <c r="N37" s="11">
        <f t="shared" si="15"/>
        <v>553</v>
      </c>
      <c r="O37" s="11">
        <f>BaselineCalc!$B$23 * N37</f>
        <v>414.75</v>
      </c>
      <c r="P37">
        <f>YearMap!E2</f>
        <v>1000</v>
      </c>
      <c r="Q37">
        <f>IF(Scenarios!N9="lease", YearMap!F2, YearMap!G2)</f>
        <v>0.5</v>
      </c>
      <c r="R37" s="2">
        <f>IF(Scenarios!D9=1, Q37*H37, H37)</f>
        <v>601999.88399999996</v>
      </c>
      <c r="S37" s="2">
        <f>IF(Scenarios!E9=1, Q37*I37, I37)</f>
        <v>693353.95199999993</v>
      </c>
      <c r="T37" s="2">
        <f>IF(C37="FY2026", (Scenarios!D9+Scenarios!E9)*BaselineCalc!$B$22, 0)</f>
        <v>2400000</v>
      </c>
      <c r="U37" s="2">
        <f t="shared" si="16"/>
        <v>1286286.3591479999</v>
      </c>
      <c r="V37" s="2">
        <f t="shared" si="17"/>
        <v>2695699.1459999997</v>
      </c>
      <c r="W37" s="2">
        <f t="shared" si="18"/>
        <v>6381985.5051479992</v>
      </c>
      <c r="X37" s="2">
        <f t="shared" si="19"/>
        <v>15387.547932846292</v>
      </c>
      <c r="Y37" s="2">
        <f>INDEX(YearMap!$I$2:$I$6, MATCH(C37, YearMap!$A$2:$A$6, 0))</f>
        <v>5013</v>
      </c>
      <c r="Z37" s="2">
        <f t="shared" si="20"/>
        <v>4302843.7551479992</v>
      </c>
      <c r="AA37" s="2">
        <f t="shared" si="21"/>
        <v>10374.547932846292</v>
      </c>
      <c r="AB37">
        <f>MAX(0, (MAX(0, $D37-BaselineCalc!$B$7) + MAX(0, $E37-BaselineCalc!$B$8)))</f>
        <v>0</v>
      </c>
      <c r="AC37">
        <f t="shared" si="22"/>
        <v>414.75</v>
      </c>
      <c r="AD37" s="2">
        <f t="shared" si="23"/>
        <v>2079141.75</v>
      </c>
      <c r="AE37" s="2">
        <f>W37 - (1-Other_Parameters!$B$2)*$G37*$AB37*$J37*(1-$K37)</f>
        <v>6381985.5051479992</v>
      </c>
      <c r="AF37" s="2">
        <f t="shared" si="24"/>
        <v>-4302843.7551479992</v>
      </c>
      <c r="AG37" t="str">
        <f t="shared" si="25"/>
        <v>A_Repurpose_Both_ops|FY2026</v>
      </c>
    </row>
    <row r="38" spans="1:33" x14ac:dyDescent="0.35">
      <c r="A38" t="str">
        <f t="shared" si="13"/>
        <v>A_Repurpose_Both_ops|FY2027</v>
      </c>
      <c r="B38" t="str">
        <f>Scenarios!A9</f>
        <v>A_Repurpose_Both_ops</v>
      </c>
      <c r="C38" t="s">
        <v>4</v>
      </c>
      <c r="D38">
        <f>IF(Scenarios!D9=1,0, L38)</f>
        <v>0</v>
      </c>
      <c r="E38">
        <f>IF(Scenarios!E9=1,0, M38)</f>
        <v>0</v>
      </c>
      <c r="F38">
        <f t="shared" si="14"/>
        <v>0</v>
      </c>
      <c r="G38" s="2">
        <f>YearMap!B3</f>
        <v>5637.0653999999995</v>
      </c>
      <c r="H38" s="2">
        <f>YearMap!C3</f>
        <v>1234099.7622</v>
      </c>
      <c r="I38" s="2">
        <f>YearMap!D3</f>
        <v>1421375.6015999999</v>
      </c>
      <c r="J38">
        <f>1-BaselineCalc!$B$5</f>
        <v>0.99299999999999999</v>
      </c>
      <c r="K38">
        <f>Scenarios!G9</f>
        <v>0</v>
      </c>
      <c r="L38">
        <f>BaselineCalc!$B$7 + ROUND(Scenarios!J9*Scenarios!F9,0)</f>
        <v>257</v>
      </c>
      <c r="M38">
        <f>BaselineCalc!$B$8 + Scenarios!J9 - ROUND(Scenarios!J9*Scenarios!F9,0)</f>
        <v>296</v>
      </c>
      <c r="N38" s="11">
        <f t="shared" si="15"/>
        <v>553</v>
      </c>
      <c r="O38" s="11">
        <f>BaselineCalc!$B$23 * N38</f>
        <v>414.75</v>
      </c>
      <c r="P38">
        <f>YearMap!E3</f>
        <v>800</v>
      </c>
      <c r="Q38">
        <f>IF(Scenarios!N9="lease", YearMap!F3, YearMap!G3)</f>
        <v>0.4</v>
      </c>
      <c r="R38" s="2">
        <f>IF(Scenarios!D9=1, Q38*H38, H38)</f>
        <v>493639.90488000005</v>
      </c>
      <c r="S38" s="2">
        <f>IF(Scenarios!E9=1, Q38*I38, I38)</f>
        <v>568550.24063999997</v>
      </c>
      <c r="T38" s="2">
        <f>IF(C38="FY2026", (Scenarios!D9+Scenarios!E9)*BaselineCalc!$B$22, 0)</f>
        <v>0</v>
      </c>
      <c r="U38" s="2">
        <f t="shared" si="16"/>
        <v>1054754.8145013601</v>
      </c>
      <c r="V38" s="2">
        <f t="shared" si="17"/>
        <v>2669772.8746499997</v>
      </c>
      <c r="W38" s="2">
        <f t="shared" si="18"/>
        <v>3724527.6891513597</v>
      </c>
      <c r="X38" s="2">
        <f t="shared" si="19"/>
        <v>8980.1752601600001</v>
      </c>
      <c r="Y38" s="2">
        <f>INDEX(YearMap!$I$2:$I$6, MATCH(C38, YearMap!$A$2:$A$6, 0))</f>
        <v>5113.26</v>
      </c>
      <c r="Z38" s="2">
        <f t="shared" si="20"/>
        <v>1603803.1041513598</v>
      </c>
      <c r="AA38" s="2">
        <f t="shared" si="21"/>
        <v>3866.9152601599994</v>
      </c>
      <c r="AB38">
        <f>MAX(0, (MAX(0, $D38-BaselineCalc!$B$7) + MAX(0, $E38-BaselineCalc!$B$8)))</f>
        <v>0</v>
      </c>
      <c r="AC38">
        <f t="shared" si="22"/>
        <v>414.75</v>
      </c>
      <c r="AD38" s="2">
        <f t="shared" si="23"/>
        <v>2120724.585</v>
      </c>
      <c r="AE38" s="2">
        <f>W38 - (1-Other_Parameters!$B$2)*$G38*$AB38*$J38*(1-$K38)</f>
        <v>3724527.6891513597</v>
      </c>
      <c r="AF38" s="2">
        <f t="shared" si="24"/>
        <v>-1603803.1041513598</v>
      </c>
      <c r="AG38" t="str">
        <f t="shared" si="25"/>
        <v>A_Repurpose_Both_ops|FY2027</v>
      </c>
    </row>
    <row r="39" spans="1:33" x14ac:dyDescent="0.35">
      <c r="A39" t="str">
        <f t="shared" si="13"/>
        <v>A_Repurpose_Both_ops|FY2028</v>
      </c>
      <c r="B39" t="str">
        <f>Scenarios!A9</f>
        <v>A_Repurpose_Both_ops</v>
      </c>
      <c r="C39" t="s">
        <v>5</v>
      </c>
      <c r="D39">
        <f>IF(Scenarios!D9=1,0, L39)</f>
        <v>0</v>
      </c>
      <c r="E39">
        <f>IF(Scenarios!E9=1,0, M39)</f>
        <v>0</v>
      </c>
      <c r="F39">
        <f t="shared" si="14"/>
        <v>0</v>
      </c>
      <c r="G39" s="2">
        <f>YearMap!B4</f>
        <v>5777.9920349999993</v>
      </c>
      <c r="H39" s="2">
        <f>YearMap!C4</f>
        <v>1264952.2562550001</v>
      </c>
      <c r="I39" s="2">
        <f>YearMap!D4</f>
        <v>1456909.9916400001</v>
      </c>
      <c r="J39">
        <f>1-BaselineCalc!$B$5</f>
        <v>0.99299999999999999</v>
      </c>
      <c r="K39">
        <f>Scenarios!G9</f>
        <v>0</v>
      </c>
      <c r="L39">
        <f>BaselineCalc!$B$7 + ROUND(Scenarios!K9*Scenarios!F9,0)</f>
        <v>257</v>
      </c>
      <c r="M39">
        <f>BaselineCalc!$B$8 + Scenarios!K9 - ROUND(Scenarios!K9*Scenarios!F9,0)</f>
        <v>296</v>
      </c>
      <c r="N39" s="11">
        <f t="shared" si="15"/>
        <v>553</v>
      </c>
      <c r="O39" s="11">
        <f>BaselineCalc!$B$23 * N39</f>
        <v>414.75</v>
      </c>
      <c r="P39">
        <f>YearMap!E4</f>
        <v>600</v>
      </c>
      <c r="Q39">
        <f>IF(Scenarios!N9="lease", YearMap!F4, YearMap!G4)</f>
        <v>0.35</v>
      </c>
      <c r="R39" s="2">
        <f>IF(Scenarios!D9=1, Q39*H39, H39)</f>
        <v>442733.28968925</v>
      </c>
      <c r="S39" s="2">
        <f>IF(Scenarios!E9=1, Q39*I39, I39)</f>
        <v>509918.49707400001</v>
      </c>
      <c r="T39" s="2">
        <f>IF(C39="FY2026", (Scenarios!D9+Scenarios!E9)*BaselineCalc!$B$22, 0)</f>
        <v>0</v>
      </c>
      <c r="U39" s="2">
        <f t="shared" si="16"/>
        <v>945983.22425590723</v>
      </c>
      <c r="V39" s="2">
        <f t="shared" si="17"/>
        <v>2645272.1965162498</v>
      </c>
      <c r="W39" s="2">
        <f t="shared" si="18"/>
        <v>3591255.4207721571</v>
      </c>
      <c r="X39" s="2">
        <f t="shared" si="19"/>
        <v>8658.8436908309995</v>
      </c>
      <c r="Y39" s="2">
        <f>INDEX(YearMap!$I$2:$I$6, MATCH(C39, YearMap!$A$2:$A$6, 0))</f>
        <v>5215.5252</v>
      </c>
      <c r="Z39" s="2">
        <f t="shared" si="20"/>
        <v>1428116.3440721571</v>
      </c>
      <c r="AA39" s="2">
        <f t="shared" si="21"/>
        <v>3443.3184908309995</v>
      </c>
      <c r="AB39">
        <f>MAX(0, (MAX(0, $D39-BaselineCalc!$B$7) + MAX(0, $E39-BaselineCalc!$B$8)))</f>
        <v>0</v>
      </c>
      <c r="AC39">
        <f t="shared" si="22"/>
        <v>414.75</v>
      </c>
      <c r="AD39" s="2">
        <f t="shared" si="23"/>
        <v>2163139.0767000001</v>
      </c>
      <c r="AE39" s="2">
        <f>W39 - (1-Other_Parameters!$B$2)*$G39*$AB39*$J39*(1-$K39)</f>
        <v>3591255.4207721571</v>
      </c>
      <c r="AF39" s="2">
        <f t="shared" si="24"/>
        <v>-1428116.3440721571</v>
      </c>
      <c r="AG39" t="str">
        <f t="shared" si="25"/>
        <v>A_Repurpose_Both_ops|FY2028</v>
      </c>
    </row>
    <row r="40" spans="1:33" x14ac:dyDescent="0.35">
      <c r="A40" t="str">
        <f t="shared" si="13"/>
        <v>A_Repurpose_Both_ops|FY2029</v>
      </c>
      <c r="B40" t="str">
        <f>Scenarios!A9</f>
        <v>A_Repurpose_Both_ops</v>
      </c>
      <c r="C40" t="s">
        <v>6</v>
      </c>
      <c r="D40">
        <f>IF(Scenarios!D9=1,0, L40)</f>
        <v>0</v>
      </c>
      <c r="E40">
        <f>IF(Scenarios!E9=1,0, M40)</f>
        <v>0</v>
      </c>
      <c r="F40">
        <f t="shared" si="14"/>
        <v>0</v>
      </c>
      <c r="G40" s="2">
        <f>YearMap!B5</f>
        <v>5922.4418358749981</v>
      </c>
      <c r="H40" s="2">
        <f>YearMap!C5</f>
        <v>1296576.0626613749</v>
      </c>
      <c r="I40" s="2">
        <f>YearMap!D5</f>
        <v>1493332.7414309999</v>
      </c>
      <c r="J40">
        <f>1-BaselineCalc!$B$5</f>
        <v>0.99299999999999999</v>
      </c>
      <c r="K40">
        <f>Scenarios!G9</f>
        <v>0</v>
      </c>
      <c r="L40">
        <f>BaselineCalc!$B$7 + ROUND(Scenarios!L9*Scenarios!F9,0)</f>
        <v>257</v>
      </c>
      <c r="M40">
        <f>BaselineCalc!$B$8 + Scenarios!L9 - ROUND(Scenarios!L9*Scenarios!F9,0)</f>
        <v>296</v>
      </c>
      <c r="N40" s="11">
        <f t="shared" si="15"/>
        <v>553</v>
      </c>
      <c r="O40" s="11">
        <f>BaselineCalc!$B$23 * N40</f>
        <v>414.75</v>
      </c>
      <c r="P40">
        <f>YearMap!E5</f>
        <v>500</v>
      </c>
      <c r="Q40">
        <f>IF(Scenarios!N9="lease", YearMap!F5, YearMap!G5)</f>
        <v>0.3</v>
      </c>
      <c r="R40" s="2">
        <f>IF(Scenarios!D9=1, Q40*H40, H40)</f>
        <v>388972.81879841245</v>
      </c>
      <c r="S40" s="2">
        <f>IF(Scenarios!E9=1, Q40*I40, I40)</f>
        <v>447999.82242929999</v>
      </c>
      <c r="T40" s="2">
        <f>IF(C40="FY2026", (Scenarios!D9+Scenarios!E9)*BaselineCalc!$B$22, 0)</f>
        <v>0</v>
      </c>
      <c r="U40" s="2">
        <f t="shared" si="16"/>
        <v>831113.83273911837</v>
      </c>
      <c r="V40" s="2">
        <f t="shared" si="17"/>
        <v>2663707.7514291555</v>
      </c>
      <c r="W40" s="2">
        <f t="shared" si="18"/>
        <v>3494821.584168274</v>
      </c>
      <c r="X40" s="2">
        <f t="shared" si="19"/>
        <v>8426.332933497948</v>
      </c>
      <c r="Y40" s="2">
        <f>INDEX(YearMap!$I$2:$I$6, MATCH(C40, YearMap!$A$2:$A$6, 0))</f>
        <v>5319.8357040000001</v>
      </c>
      <c r="Z40" s="2">
        <f t="shared" si="20"/>
        <v>1288419.725934274</v>
      </c>
      <c r="AA40" s="2">
        <f t="shared" si="21"/>
        <v>3106.4972294979484</v>
      </c>
      <c r="AB40">
        <f>MAX(0, (MAX(0, $D40-BaselineCalc!$B$7) + MAX(0, $E40-BaselineCalc!$B$8)))</f>
        <v>0</v>
      </c>
      <c r="AC40">
        <f t="shared" si="22"/>
        <v>414.75</v>
      </c>
      <c r="AD40" s="2">
        <f t="shared" si="23"/>
        <v>2206401.8582339999</v>
      </c>
      <c r="AE40" s="2">
        <f>W40 - (1-Other_Parameters!$B$2)*$G40*$AB40*$J40*(1-$K40)</f>
        <v>3494821.584168274</v>
      </c>
      <c r="AF40" s="2">
        <f t="shared" si="24"/>
        <v>-1288419.725934274</v>
      </c>
      <c r="AG40" t="str">
        <f t="shared" si="25"/>
        <v>A_Repurpose_Both_ops|FY2029</v>
      </c>
    </row>
    <row r="41" spans="1:33" x14ac:dyDescent="0.35">
      <c r="A41" t="str">
        <f t="shared" si="13"/>
        <v>A_Repurpose_Both_ops|FY2030</v>
      </c>
      <c r="B41" t="str">
        <f>Scenarios!A9</f>
        <v>A_Repurpose_Both_ops</v>
      </c>
      <c r="C41" t="s">
        <v>7</v>
      </c>
      <c r="D41">
        <f>IF(Scenarios!D9=1,0, L41)</f>
        <v>0</v>
      </c>
      <c r="E41">
        <f>IF(Scenarios!E9=1,0, M41)</f>
        <v>0</v>
      </c>
      <c r="F41">
        <f t="shared" si="14"/>
        <v>0</v>
      </c>
      <c r="G41" s="2">
        <f>YearMap!B6</f>
        <v>6070.502881771873</v>
      </c>
      <c r="H41" s="2">
        <f>YearMap!C6</f>
        <v>1328990.4642279092</v>
      </c>
      <c r="I41" s="2">
        <f>YearMap!D6</f>
        <v>1530666.0599667749</v>
      </c>
      <c r="J41">
        <f>1-BaselineCalc!$B$5</f>
        <v>0.99299999999999999</v>
      </c>
      <c r="K41">
        <f>Scenarios!G9</f>
        <v>0</v>
      </c>
      <c r="L41">
        <f>BaselineCalc!$B$7 + ROUND(Scenarios!M9*Scenarios!F9,0)</f>
        <v>257</v>
      </c>
      <c r="M41">
        <f>BaselineCalc!$B$8 + Scenarios!M9 - ROUND(Scenarios!M9*Scenarios!F9,0)</f>
        <v>296</v>
      </c>
      <c r="N41" s="11">
        <f t="shared" si="15"/>
        <v>553</v>
      </c>
      <c r="O41" s="11">
        <f>BaselineCalc!$B$23 * N41</f>
        <v>414.75</v>
      </c>
      <c r="P41">
        <f>YearMap!E6</f>
        <v>300</v>
      </c>
      <c r="Q41">
        <f>IF(Scenarios!N9="lease", YearMap!F6, YearMap!G6)</f>
        <v>0.3</v>
      </c>
      <c r="R41" s="2">
        <f>IF(Scenarios!D9=1, Q41*H41, H41)</f>
        <v>398697.13926837273</v>
      </c>
      <c r="S41" s="2">
        <f>IF(Scenarios!E9=1, Q41*I41, I41)</f>
        <v>459199.81799003243</v>
      </c>
      <c r="T41" s="2">
        <f>IF(C41="FY2026", (Scenarios!D9+Scenarios!E9)*BaselineCalc!$B$22, 0)</f>
        <v>0</v>
      </c>
      <c r="U41" s="2">
        <f t="shared" si="16"/>
        <v>851891.67855759629</v>
      </c>
      <c r="V41" s="2">
        <f>O41*(G41+P41)</f>
        <v>2642166.0702148844</v>
      </c>
      <c r="W41" s="2">
        <f t="shared" si="18"/>
        <v>3494057.7487724805</v>
      </c>
      <c r="X41" s="2">
        <f t="shared" si="19"/>
        <v>8424.4912568353957</v>
      </c>
      <c r="Y41" s="2">
        <f>INDEX(YearMap!$I$2:$I$6, MATCH(C41, YearMap!$A$2:$A$6, 0))</f>
        <v>5426.2324180799997</v>
      </c>
      <c r="Z41" s="2">
        <f t="shared" si="20"/>
        <v>1243527.8533738009</v>
      </c>
      <c r="AA41" s="2">
        <f t="shared" si="21"/>
        <v>2998.2588387553969</v>
      </c>
      <c r="AB41">
        <f>MAX(0, (MAX(0, $D41-BaselineCalc!$B$7) + MAX(0, $E41-BaselineCalc!$B$8)))</f>
        <v>0</v>
      </c>
      <c r="AC41">
        <f t="shared" si="22"/>
        <v>414.75</v>
      </c>
      <c r="AD41" s="2">
        <f t="shared" si="23"/>
        <v>2250529.8953986797</v>
      </c>
      <c r="AE41" s="2">
        <f>W41 - (1-Other_Parameters!$B$2)*$G41*$AB41*$J41*(1-$K41)</f>
        <v>3494057.7487724805</v>
      </c>
      <c r="AF41" s="2">
        <f t="shared" si="24"/>
        <v>-1243527.8533738009</v>
      </c>
      <c r="AG41" t="str">
        <f t="shared" si="25"/>
        <v>A_Repurpose_Both_ops|FY2030</v>
      </c>
    </row>
    <row r="42" spans="1:33" x14ac:dyDescent="0.35">
      <c r="A42" t="str">
        <f t="shared" si="13"/>
        <v>B_Repurpose_Echo_lease_PimaTargets|FY2026</v>
      </c>
      <c r="B42" t="str">
        <f>Scenarios!A10</f>
        <v>B_Repurpose_Echo_lease_PimaTargets</v>
      </c>
      <c r="C42" t="s">
        <v>3</v>
      </c>
      <c r="D42">
        <f>IF(Scenarios!D10=1,0, L42)</f>
        <v>0</v>
      </c>
      <c r="E42">
        <f>IF(Scenarios!E10=1,0, M42)</f>
        <v>296</v>
      </c>
      <c r="F42">
        <f t="shared" si="14"/>
        <v>296</v>
      </c>
      <c r="G42" s="2">
        <f>YearMap!B2</f>
        <v>5499.5759999999991</v>
      </c>
      <c r="H42" s="2">
        <f>YearMap!C2</f>
        <v>1203999.7679999999</v>
      </c>
      <c r="I42" s="2">
        <f>YearMap!D2</f>
        <v>1386707.9039999999</v>
      </c>
      <c r="J42">
        <f>1-BaselineCalc!$B$5</f>
        <v>0.99299999999999999</v>
      </c>
      <c r="K42">
        <f>Scenarios!G10</f>
        <v>0</v>
      </c>
      <c r="L42">
        <f>BaselineCalc!$B$7 + ROUND(Scenarios!I10*Scenarios!F10,0)</f>
        <v>257</v>
      </c>
      <c r="M42">
        <f>BaselineCalc!$B$8 + Scenarios!I10 - ROUND(Scenarios!I10*Scenarios!F10,0)</f>
        <v>296</v>
      </c>
      <c r="N42" s="11">
        <f t="shared" si="15"/>
        <v>257</v>
      </c>
      <c r="O42" s="11">
        <f>BaselineCalc!$B$23 * N42</f>
        <v>192.75</v>
      </c>
      <c r="P42">
        <f>YearMap!E2</f>
        <v>1000</v>
      </c>
      <c r="Q42">
        <f>IF(Scenarios!N10="lease", YearMap!F2, YearMap!G2)</f>
        <v>0.4</v>
      </c>
      <c r="R42" s="2">
        <f>IF(Scenarios!D10=1, Q42*H42, H42)</f>
        <v>481599.90720000002</v>
      </c>
      <c r="S42" s="2">
        <f>IF(Scenarios!E10=1, Q42*I42, I42)</f>
        <v>1386707.9039999999</v>
      </c>
      <c r="T42" s="2">
        <f>IF(C42="FY2026", (Scenarios!D10+Scenarios!E10)*BaselineCalc!$B$22, 0)</f>
        <v>1200000</v>
      </c>
      <c r="U42" s="2">
        <f t="shared" si="16"/>
        <v>3471709.0310495999</v>
      </c>
      <c r="V42" s="2">
        <f t="shared" si="17"/>
        <v>1252793.2739999997</v>
      </c>
      <c r="W42" s="2">
        <f t="shared" si="18"/>
        <v>5924502.3050496001</v>
      </c>
      <c r="X42" s="2">
        <f t="shared" si="19"/>
        <v>12121.743846648798</v>
      </c>
      <c r="Y42" s="2">
        <f>INDEX(YearMap!$I$2:$I$6, MATCH(C42, YearMap!$A$2:$A$6, 0))</f>
        <v>5013</v>
      </c>
      <c r="Z42" s="2">
        <f t="shared" si="20"/>
        <v>3474398.5550496001</v>
      </c>
      <c r="AA42" s="2">
        <f t="shared" si="21"/>
        <v>7108.7438466487984</v>
      </c>
      <c r="AB42">
        <f>MAX(0, (MAX(0, $D42-BaselineCalc!$B$7) + MAX(0, $E42-BaselineCalc!$B$8)))</f>
        <v>0</v>
      </c>
      <c r="AC42">
        <f t="shared" si="22"/>
        <v>488.75</v>
      </c>
      <c r="AD42" s="2">
        <f t="shared" si="23"/>
        <v>2450103.75</v>
      </c>
      <c r="AE42" s="2">
        <f>W42 - (1-Other_Parameters!$B$2)*$G42*$AB42*$J42*(1-$K42)</f>
        <v>5924502.3050496001</v>
      </c>
      <c r="AF42" s="2">
        <f t="shared" si="24"/>
        <v>-3474398.5550496001</v>
      </c>
      <c r="AG42" t="str">
        <f t="shared" si="25"/>
        <v>B_Repurpose_Echo_lease_PimaTargets|FY2026</v>
      </c>
    </row>
    <row r="43" spans="1:33" x14ac:dyDescent="0.35">
      <c r="A43" t="str">
        <f t="shared" si="13"/>
        <v>B_Repurpose_Echo_lease_PimaTargets|FY2027</v>
      </c>
      <c r="B43" t="str">
        <f>Scenarios!A10</f>
        <v>B_Repurpose_Echo_lease_PimaTargets</v>
      </c>
      <c r="C43" t="s">
        <v>4</v>
      </c>
      <c r="D43">
        <f>IF(Scenarios!D10=1,0, L43)</f>
        <v>0</v>
      </c>
      <c r="E43">
        <f>IF(Scenarios!E10=1,0, M43)</f>
        <v>296</v>
      </c>
      <c r="F43">
        <f t="shared" si="14"/>
        <v>296</v>
      </c>
      <c r="G43" s="2">
        <f>YearMap!B3</f>
        <v>5637.0653999999995</v>
      </c>
      <c r="H43" s="2">
        <f>YearMap!C3</f>
        <v>1234099.7622</v>
      </c>
      <c r="I43" s="2">
        <f>YearMap!D3</f>
        <v>1421375.6015999999</v>
      </c>
      <c r="J43">
        <f>1-BaselineCalc!$B$5</f>
        <v>0.99299999999999999</v>
      </c>
      <c r="K43">
        <f>Scenarios!G10</f>
        <v>0</v>
      </c>
      <c r="L43">
        <f>BaselineCalc!$B$7 + ROUND(Scenarios!J10*Scenarios!F10,0)</f>
        <v>257</v>
      </c>
      <c r="M43">
        <f>BaselineCalc!$B$8 + Scenarios!J10 - ROUND(Scenarios!J10*Scenarios!F10,0)</f>
        <v>296</v>
      </c>
      <c r="N43" s="11">
        <f t="shared" si="15"/>
        <v>257</v>
      </c>
      <c r="O43" s="11">
        <f>BaselineCalc!$B$23 * N43</f>
        <v>192.75</v>
      </c>
      <c r="P43">
        <f>YearMap!E3</f>
        <v>800</v>
      </c>
      <c r="Q43">
        <f>IF(Scenarios!N10="lease", YearMap!F3, YearMap!G3)</f>
        <v>0.3</v>
      </c>
      <c r="R43" s="2">
        <f>IF(Scenarios!D10=1, Q43*H43, H43)</f>
        <v>370229.92865999998</v>
      </c>
      <c r="S43" s="2">
        <f>IF(Scenarios!E10=1, Q43*I43, I43)</f>
        <v>1421375.6015999999</v>
      </c>
      <c r="T43" s="2">
        <f>IF(C43="FY2026", (Scenarios!D10+Scenarios!E10)*BaselineCalc!$B$22, 0)</f>
        <v>0</v>
      </c>
      <c r="U43" s="2">
        <f t="shared" si="16"/>
        <v>3435955.6504393797</v>
      </c>
      <c r="V43" s="2">
        <f t="shared" si="17"/>
        <v>1240744.3558499999</v>
      </c>
      <c r="W43" s="2">
        <f t="shared" si="18"/>
        <v>4676700.0062893797</v>
      </c>
      <c r="X43" s="2">
        <f t="shared" si="19"/>
        <v>9568.6956650422089</v>
      </c>
      <c r="Y43" s="2">
        <f>INDEX(YearMap!$I$2:$I$6, MATCH(C43, YearMap!$A$2:$A$6, 0))</f>
        <v>5113.26</v>
      </c>
      <c r="Z43" s="2">
        <f t="shared" si="20"/>
        <v>2177594.1812893795</v>
      </c>
      <c r="AA43" s="2">
        <f t="shared" si="21"/>
        <v>4455.4356650422087</v>
      </c>
      <c r="AB43">
        <f>MAX(0, (MAX(0, $D43-BaselineCalc!$B$7) + MAX(0, $E43-BaselineCalc!$B$8)))</f>
        <v>0</v>
      </c>
      <c r="AC43">
        <f t="shared" si="22"/>
        <v>488.75</v>
      </c>
      <c r="AD43" s="2">
        <f t="shared" si="23"/>
        <v>2499105.8250000002</v>
      </c>
      <c r="AE43" s="2">
        <f>W43 - (1-Other_Parameters!$B$2)*$G43*$AB43*$J43*(1-$K43)</f>
        <v>4676700.0062893797</v>
      </c>
      <c r="AF43" s="2">
        <f t="shared" si="24"/>
        <v>-2177594.1812893795</v>
      </c>
      <c r="AG43" t="str">
        <f t="shared" si="25"/>
        <v>B_Repurpose_Echo_lease_PimaTargets|FY2027</v>
      </c>
    </row>
    <row r="44" spans="1:33" x14ac:dyDescent="0.35">
      <c r="A44" t="str">
        <f t="shared" si="13"/>
        <v>B_Repurpose_Echo_lease_PimaTargets|FY2028</v>
      </c>
      <c r="B44" t="str">
        <f>Scenarios!A10</f>
        <v>B_Repurpose_Echo_lease_PimaTargets</v>
      </c>
      <c r="C44" t="s">
        <v>5</v>
      </c>
      <c r="D44">
        <f>IF(Scenarios!D10=1,0, L44)</f>
        <v>0</v>
      </c>
      <c r="E44">
        <f>IF(Scenarios!E10=1,0, M44)</f>
        <v>296</v>
      </c>
      <c r="F44">
        <f t="shared" si="14"/>
        <v>296</v>
      </c>
      <c r="G44" s="2">
        <f>YearMap!B4</f>
        <v>5777.9920349999993</v>
      </c>
      <c r="H44" s="2">
        <f>YearMap!C4</f>
        <v>1264952.2562550001</v>
      </c>
      <c r="I44" s="2">
        <f>YearMap!D4</f>
        <v>1456909.9916400001</v>
      </c>
      <c r="J44">
        <f>1-BaselineCalc!$B$5</f>
        <v>0.99299999999999999</v>
      </c>
      <c r="K44">
        <f>Scenarios!G10</f>
        <v>0</v>
      </c>
      <c r="L44">
        <f>BaselineCalc!$B$7 + ROUND(Scenarios!K10*Scenarios!F10,0)</f>
        <v>257</v>
      </c>
      <c r="M44">
        <f>BaselineCalc!$B$8 + Scenarios!K10 - ROUND(Scenarios!K10*Scenarios!F10,0)</f>
        <v>296</v>
      </c>
      <c r="N44" s="11">
        <f t="shared" si="15"/>
        <v>257</v>
      </c>
      <c r="O44" s="11">
        <f>BaselineCalc!$B$23 * N44</f>
        <v>192.75</v>
      </c>
      <c r="P44">
        <f>YearMap!E4</f>
        <v>600</v>
      </c>
      <c r="Q44">
        <f>IF(Scenarios!N10="lease", YearMap!F4, YearMap!G4)</f>
        <v>0.2</v>
      </c>
      <c r="R44" s="2">
        <f>IF(Scenarios!D10=1, Q44*H44, H44)</f>
        <v>252990.45125100005</v>
      </c>
      <c r="S44" s="2">
        <f>IF(Scenarios!E10=1, Q44*I44, I44)</f>
        <v>1456909.9916400001</v>
      </c>
      <c r="T44" s="2">
        <f>IF(C44="FY2026", (Scenarios!D10+Scenarios!E10)*BaselineCalc!$B$22, 0)</f>
        <v>0</v>
      </c>
      <c r="U44" s="2">
        <f t="shared" si="16"/>
        <v>3396244.7826542426</v>
      </c>
      <c r="V44" s="2">
        <f t="shared" si="17"/>
        <v>1229357.9647462498</v>
      </c>
      <c r="W44" s="2">
        <f t="shared" si="18"/>
        <v>4625602.7474004924</v>
      </c>
      <c r="X44" s="2">
        <f t="shared" si="19"/>
        <v>9464.1488437861735</v>
      </c>
      <c r="Y44" s="2">
        <f>INDEX(YearMap!$I$2:$I$6, MATCH(C44, YearMap!$A$2:$A$6, 0))</f>
        <v>5215.5252</v>
      </c>
      <c r="Z44" s="2">
        <f t="shared" si="20"/>
        <v>2076514.8059004922</v>
      </c>
      <c r="AA44" s="2">
        <f t="shared" si="21"/>
        <v>4248.6236437861735</v>
      </c>
      <c r="AB44">
        <f>MAX(0, (MAX(0, $D44-BaselineCalc!$B$7) + MAX(0, $E44-BaselineCalc!$B$8)))</f>
        <v>0</v>
      </c>
      <c r="AC44">
        <f t="shared" si="22"/>
        <v>488.75</v>
      </c>
      <c r="AD44" s="2">
        <f t="shared" si="23"/>
        <v>2549087.9415000002</v>
      </c>
      <c r="AE44" s="2">
        <f>W44 - (1-Other_Parameters!$B$2)*$G44*$AB44*$J44*(1-$K44)</f>
        <v>4625602.7474004924</v>
      </c>
      <c r="AF44" s="2">
        <f t="shared" si="24"/>
        <v>-2076514.8059004922</v>
      </c>
      <c r="AG44" t="str">
        <f t="shared" si="25"/>
        <v>B_Repurpose_Echo_lease_PimaTargets|FY2028</v>
      </c>
    </row>
    <row r="45" spans="1:33" x14ac:dyDescent="0.35">
      <c r="A45" t="str">
        <f t="shared" si="13"/>
        <v>B_Repurpose_Echo_lease_PimaTargets|FY2029</v>
      </c>
      <c r="B45" t="str">
        <f>Scenarios!A10</f>
        <v>B_Repurpose_Echo_lease_PimaTargets</v>
      </c>
      <c r="C45" t="s">
        <v>6</v>
      </c>
      <c r="D45">
        <f>IF(Scenarios!D10=1,0, L45)</f>
        <v>0</v>
      </c>
      <c r="E45">
        <f>IF(Scenarios!E10=1,0, M45)</f>
        <v>296</v>
      </c>
      <c r="F45">
        <f t="shared" si="14"/>
        <v>296</v>
      </c>
      <c r="G45" s="2">
        <f>YearMap!B5</f>
        <v>5922.4418358749981</v>
      </c>
      <c r="H45" s="2">
        <f>YearMap!C5</f>
        <v>1296576.0626613749</v>
      </c>
      <c r="I45" s="2">
        <f>YearMap!D5</f>
        <v>1493332.7414309999</v>
      </c>
      <c r="J45">
        <f>1-BaselineCalc!$B$5</f>
        <v>0.99299999999999999</v>
      </c>
      <c r="K45">
        <f>Scenarios!G10</f>
        <v>0</v>
      </c>
      <c r="L45">
        <f>BaselineCalc!$B$7 + ROUND(Scenarios!L10*Scenarios!F10,0)</f>
        <v>257</v>
      </c>
      <c r="M45">
        <f>BaselineCalc!$B$8 + Scenarios!L10 - ROUND(Scenarios!L10*Scenarios!F10,0)</f>
        <v>296</v>
      </c>
      <c r="N45" s="11">
        <f t="shared" si="15"/>
        <v>257</v>
      </c>
      <c r="O45" s="11">
        <f>BaselineCalc!$B$23 * N45</f>
        <v>192.75</v>
      </c>
      <c r="P45">
        <f>YearMap!E5</f>
        <v>500</v>
      </c>
      <c r="Q45">
        <f>IF(Scenarios!N10="lease", YearMap!F5, YearMap!G5)</f>
        <v>0.1</v>
      </c>
      <c r="R45" s="2">
        <f>IF(Scenarios!D10=1, Q45*H45, H45)</f>
        <v>129657.6062661375</v>
      </c>
      <c r="S45" s="2">
        <f>IF(Scenarios!E10=1, Q45*I45, I45)</f>
        <v>1493332.7414309999</v>
      </c>
      <c r="T45" s="2">
        <f>IF(C45="FY2026", (Scenarios!D10+Scenarios!E10)*BaselineCalc!$B$22, 0)</f>
        <v>0</v>
      </c>
      <c r="U45" s="2">
        <f t="shared" si="16"/>
        <v>3352400.899198324</v>
      </c>
      <c r="V45" s="2">
        <f t="shared" si="17"/>
        <v>1237925.6638649059</v>
      </c>
      <c r="W45" s="2">
        <f t="shared" si="18"/>
        <v>4590326.5630632304</v>
      </c>
      <c r="X45" s="2">
        <f t="shared" si="19"/>
        <v>9391.972507546252</v>
      </c>
      <c r="Y45" s="2">
        <f>INDEX(YearMap!$I$2:$I$6, MATCH(C45, YearMap!$A$2:$A$6, 0))</f>
        <v>5319.8357040000001</v>
      </c>
      <c r="Z45" s="2">
        <f t="shared" si="20"/>
        <v>1990256.8627332305</v>
      </c>
      <c r="AA45" s="2">
        <f t="shared" si="21"/>
        <v>4072.1368035462515</v>
      </c>
      <c r="AB45">
        <f>MAX(0, (MAX(0, $D45-BaselineCalc!$B$7) + MAX(0, $E45-BaselineCalc!$B$8)))</f>
        <v>0</v>
      </c>
      <c r="AC45">
        <f t="shared" si="22"/>
        <v>488.75</v>
      </c>
      <c r="AD45" s="2">
        <f t="shared" si="23"/>
        <v>2600069.7003299999</v>
      </c>
      <c r="AE45" s="2">
        <f>W45 - (1-Other_Parameters!$B$2)*$G45*$AB45*$J45*(1-$K45)</f>
        <v>4590326.5630632304</v>
      </c>
      <c r="AF45" s="2">
        <f t="shared" si="24"/>
        <v>-1990256.8627332305</v>
      </c>
      <c r="AG45" t="str">
        <f t="shared" si="25"/>
        <v>B_Repurpose_Echo_lease_PimaTargets|FY2029</v>
      </c>
    </row>
    <row r="46" spans="1:33" x14ac:dyDescent="0.35">
      <c r="A46" t="str">
        <f t="shared" si="13"/>
        <v>B_Repurpose_Echo_lease_PimaTargets|FY2030</v>
      </c>
      <c r="B46" t="str">
        <f>Scenarios!A10</f>
        <v>B_Repurpose_Echo_lease_PimaTargets</v>
      </c>
      <c r="C46" t="s">
        <v>7</v>
      </c>
      <c r="D46">
        <f>IF(Scenarios!D10=1,0, L46)</f>
        <v>0</v>
      </c>
      <c r="E46">
        <f>IF(Scenarios!E10=1,0, M46)</f>
        <v>296</v>
      </c>
      <c r="F46">
        <f t="shared" si="14"/>
        <v>296</v>
      </c>
      <c r="G46" s="2">
        <f>YearMap!B6</f>
        <v>6070.502881771873</v>
      </c>
      <c r="H46" s="2">
        <f>YearMap!C6</f>
        <v>1328990.4642279092</v>
      </c>
      <c r="I46" s="2">
        <f>YearMap!D6</f>
        <v>1530666.0599667749</v>
      </c>
      <c r="J46">
        <f>1-BaselineCalc!$B$5</f>
        <v>0.99299999999999999</v>
      </c>
      <c r="K46">
        <f>Scenarios!G10</f>
        <v>0</v>
      </c>
      <c r="L46">
        <f>BaselineCalc!$B$7 + ROUND(Scenarios!M10*Scenarios!F10,0)</f>
        <v>257</v>
      </c>
      <c r="M46">
        <f>BaselineCalc!$B$8 + Scenarios!M10 - ROUND(Scenarios!M10*Scenarios!F10,0)</f>
        <v>296</v>
      </c>
      <c r="N46" s="11">
        <f t="shared" si="15"/>
        <v>257</v>
      </c>
      <c r="O46" s="11">
        <f>BaselineCalc!$B$23 * N46</f>
        <v>192.75</v>
      </c>
      <c r="P46">
        <f>YearMap!E6</f>
        <v>300</v>
      </c>
      <c r="Q46">
        <f>IF(Scenarios!N10="lease", YearMap!F6, YearMap!G6)</f>
        <v>0.1</v>
      </c>
      <c r="R46" s="2">
        <f>IF(Scenarios!D10=1, Q46*H46, H46)</f>
        <v>132899.04642279094</v>
      </c>
      <c r="S46" s="2">
        <f>IF(Scenarios!E10=1, Q46*I46, I46)</f>
        <v>1530666.0599667749</v>
      </c>
      <c r="T46" s="2">
        <f>IF(C46="FY2026", (Scenarios!D10+Scenarios!E10)*BaselineCalc!$B$22, 0)</f>
        <v>0</v>
      </c>
      <c r="U46" s="2">
        <f t="shared" si="16"/>
        <v>3436210.9216782823</v>
      </c>
      <c r="V46" s="2">
        <f t="shared" si="17"/>
        <v>1227914.4304615285</v>
      </c>
      <c r="W46" s="2">
        <f t="shared" si="18"/>
        <v>4664125.352139811</v>
      </c>
      <c r="X46" s="2">
        <f t="shared" si="19"/>
        <v>9542.96747240882</v>
      </c>
      <c r="Y46" s="2">
        <f>INDEX(YearMap!$I$2:$I$6, MATCH(C46, YearMap!$A$2:$A$6, 0))</f>
        <v>5426.2324180799997</v>
      </c>
      <c r="Z46" s="2">
        <f t="shared" si="20"/>
        <v>2012054.257803211</v>
      </c>
      <c r="AA46" s="2">
        <f t="shared" si="21"/>
        <v>4116.7350543288203</v>
      </c>
      <c r="AB46">
        <f>MAX(0, (MAX(0, $D46-BaselineCalc!$B$7) + MAX(0, $E46-BaselineCalc!$B$8)))</f>
        <v>0</v>
      </c>
      <c r="AC46">
        <f t="shared" si="22"/>
        <v>488.75</v>
      </c>
      <c r="AD46" s="2">
        <f t="shared" si="23"/>
        <v>2652071.0943366</v>
      </c>
      <c r="AE46" s="2">
        <f>W46 - (1-Other_Parameters!$B$2)*$G46*$AB46*$J46*(1-$K46)</f>
        <v>4664125.352139811</v>
      </c>
      <c r="AF46" s="2">
        <f t="shared" si="24"/>
        <v>-2012054.257803211</v>
      </c>
      <c r="AG46" t="str">
        <f t="shared" si="25"/>
        <v>B_Repurpose_Echo_lease_PimaTargets|FY2030</v>
      </c>
    </row>
    <row r="47" spans="1:33" x14ac:dyDescent="0.35">
      <c r="A47" t="str">
        <f t="shared" si="13"/>
        <v>B_Repurpose_Echo_ops_PimaTargets|FY2026</v>
      </c>
      <c r="B47" t="str">
        <f>Scenarios!A11</f>
        <v>B_Repurpose_Echo_ops_PimaTargets</v>
      </c>
      <c r="C47" t="s">
        <v>3</v>
      </c>
      <c r="D47">
        <f>IF(Scenarios!D11=1,0, L47)</f>
        <v>0</v>
      </c>
      <c r="E47">
        <f>IF(Scenarios!E11=1,0, M47)</f>
        <v>446</v>
      </c>
      <c r="F47">
        <f t="shared" si="14"/>
        <v>446</v>
      </c>
      <c r="G47" s="2">
        <f>YearMap!B2</f>
        <v>5499.5759999999991</v>
      </c>
      <c r="H47" s="2">
        <f>YearMap!C2</f>
        <v>1203999.7679999999</v>
      </c>
      <c r="I47" s="2">
        <f>YearMap!D2</f>
        <v>1386707.9039999999</v>
      </c>
      <c r="J47">
        <f>1-BaselineCalc!$B$5</f>
        <v>0.99299999999999999</v>
      </c>
      <c r="K47">
        <f>Scenarios!G11</f>
        <v>0</v>
      </c>
      <c r="L47">
        <f>BaselineCalc!$B$7 + ROUND(Scenarios!I11*Scenarios!F11,0)</f>
        <v>257</v>
      </c>
      <c r="M47">
        <f>BaselineCalc!$B$8 + Scenarios!I11 - ROUND(Scenarios!I11*Scenarios!F11,0)</f>
        <v>446</v>
      </c>
      <c r="N47" s="11">
        <f t="shared" si="15"/>
        <v>257</v>
      </c>
      <c r="O47" s="11">
        <f>BaselineCalc!$B$23 * N47</f>
        <v>192.75</v>
      </c>
      <c r="P47">
        <f>YearMap!E2</f>
        <v>1000</v>
      </c>
      <c r="Q47">
        <f>IF(Scenarios!N11="lease", YearMap!F2, YearMap!G2)</f>
        <v>0.5</v>
      </c>
      <c r="R47" s="2">
        <f>IF(Scenarios!D11=1, Q47*H47, H47)</f>
        <v>601999.88399999996</v>
      </c>
      <c r="S47" s="2">
        <f>IF(Scenarios!E11=1, Q47*I47, I47)</f>
        <v>1386707.9039999999</v>
      </c>
      <c r="T47" s="2">
        <f>IF(C47="FY2026", (Scenarios!D11+Scenarios!E11)*BaselineCalc!$B$22, 0)</f>
        <v>1200000</v>
      </c>
      <c r="U47" s="2">
        <f t="shared" si="16"/>
        <v>4410428.0532119991</v>
      </c>
      <c r="V47" s="2">
        <f t="shared" si="17"/>
        <v>1252793.2739999997</v>
      </c>
      <c r="W47" s="2">
        <f t="shared" si="18"/>
        <v>6863221.3272119984</v>
      </c>
      <c r="X47" s="2">
        <f t="shared" si="19"/>
        <v>10744.769201114674</v>
      </c>
      <c r="Y47" s="2">
        <f>INDEX(YearMap!$I$2:$I$6, MATCH(C47, YearMap!$A$2:$A$6, 0))</f>
        <v>5013</v>
      </c>
      <c r="Z47" s="2">
        <f t="shared" si="20"/>
        <v>3661167.5772119984</v>
      </c>
      <c r="AA47" s="2">
        <f t="shared" si="21"/>
        <v>5731.7692011146746</v>
      </c>
      <c r="AB47">
        <f>MAX(0, (MAX(0, $D47-BaselineCalc!$B$7) + MAX(0, $E47-BaselineCalc!$B$8)))</f>
        <v>150</v>
      </c>
      <c r="AC47">
        <f t="shared" si="22"/>
        <v>638.75</v>
      </c>
      <c r="AD47" s="2">
        <f t="shared" si="23"/>
        <v>3202053.75</v>
      </c>
      <c r="AE47" s="2">
        <f>W47 - (1-Other_Parameters!$B$2)*$G47*$AB47*$J47*(1-$K47)</f>
        <v>6371724.2200919986</v>
      </c>
      <c r="AF47" s="2">
        <f t="shared" si="24"/>
        <v>-3169670.4700919986</v>
      </c>
      <c r="AG47" t="str">
        <f t="shared" si="25"/>
        <v>B_Repurpose_Echo_ops_PimaTargets|FY2026</v>
      </c>
    </row>
    <row r="48" spans="1:33" x14ac:dyDescent="0.35">
      <c r="A48" t="str">
        <f t="shared" si="13"/>
        <v>B_Repurpose_Echo_ops_PimaTargets|FY2027</v>
      </c>
      <c r="B48" t="str">
        <f>Scenarios!A11</f>
        <v>B_Repurpose_Echo_ops_PimaTargets</v>
      </c>
      <c r="C48" t="s">
        <v>4</v>
      </c>
      <c r="D48">
        <f>IF(Scenarios!D11=1,0, L48)</f>
        <v>0</v>
      </c>
      <c r="E48">
        <f>IF(Scenarios!E11=1,0, M48)</f>
        <v>446</v>
      </c>
      <c r="F48">
        <f t="shared" si="14"/>
        <v>446</v>
      </c>
      <c r="G48" s="2">
        <f>YearMap!B3</f>
        <v>5637.0653999999995</v>
      </c>
      <c r="H48" s="2">
        <f>YearMap!C3</f>
        <v>1234099.7622</v>
      </c>
      <c r="I48" s="2">
        <f>YearMap!D3</f>
        <v>1421375.6015999999</v>
      </c>
      <c r="J48">
        <f>1-BaselineCalc!$B$5</f>
        <v>0.99299999999999999</v>
      </c>
      <c r="K48">
        <f>Scenarios!G11</f>
        <v>0</v>
      </c>
      <c r="L48">
        <f>BaselineCalc!$B$7 + ROUND(Scenarios!J11*Scenarios!F11,0)</f>
        <v>257</v>
      </c>
      <c r="M48">
        <f>BaselineCalc!$B$8 + Scenarios!J11 - ROUND(Scenarios!J11*Scenarios!F11,0)</f>
        <v>446</v>
      </c>
      <c r="N48" s="11">
        <f t="shared" si="15"/>
        <v>257</v>
      </c>
      <c r="O48" s="11">
        <f>BaselineCalc!$B$23 * N48</f>
        <v>192.75</v>
      </c>
      <c r="P48">
        <f>YearMap!E3</f>
        <v>800</v>
      </c>
      <c r="Q48">
        <f>IF(Scenarios!N11="lease", YearMap!F3, YearMap!G3)</f>
        <v>0.4</v>
      </c>
      <c r="R48" s="2">
        <f>IF(Scenarios!D11=1, Q48*H48, H48)</f>
        <v>493639.90488000005</v>
      </c>
      <c r="S48" s="2">
        <f>IF(Scenarios!E11=1, Q48*I48, I48)</f>
        <v>1421375.6015999999</v>
      </c>
      <c r="T48" s="2">
        <f>IF(C48="FY2026", (Scenarios!D11+Scenarios!E11)*BaselineCalc!$B$22, 0)</f>
        <v>0</v>
      </c>
      <c r="U48" s="2">
        <f t="shared" si="16"/>
        <v>4398142.6481558401</v>
      </c>
      <c r="V48" s="2">
        <f t="shared" si="17"/>
        <v>1240744.3558499999</v>
      </c>
      <c r="W48" s="2">
        <f t="shared" si="18"/>
        <v>5638887.00400584</v>
      </c>
      <c r="X48" s="2">
        <f t="shared" si="19"/>
        <v>8828.0031373868333</v>
      </c>
      <c r="Y48" s="2">
        <f>INDEX(YearMap!$I$2:$I$6, MATCH(C48, YearMap!$A$2:$A$6, 0))</f>
        <v>5113.26</v>
      </c>
      <c r="Z48" s="2">
        <f t="shared" si="20"/>
        <v>2372792.1790058399</v>
      </c>
      <c r="AA48" s="2">
        <f t="shared" si="21"/>
        <v>3714.7431373868335</v>
      </c>
      <c r="AB48">
        <f>MAX(0, (MAX(0, $D48-BaselineCalc!$B$7) + MAX(0, $E48-BaselineCalc!$B$8)))</f>
        <v>150</v>
      </c>
      <c r="AC48">
        <f t="shared" si="22"/>
        <v>638.75</v>
      </c>
      <c r="AD48" s="2">
        <f t="shared" si="23"/>
        <v>3266094.8250000002</v>
      </c>
      <c r="AE48" s="2">
        <f>W48 - (1-Other_Parameters!$B$2)*$G48*$AB48*$J48*(1-$K48)</f>
        <v>5135102.46920784</v>
      </c>
      <c r="AF48" s="2">
        <f t="shared" si="24"/>
        <v>-1869007.6442078399</v>
      </c>
      <c r="AG48" t="str">
        <f t="shared" si="25"/>
        <v>B_Repurpose_Echo_ops_PimaTargets|FY2027</v>
      </c>
    </row>
    <row r="49" spans="1:33" x14ac:dyDescent="0.35">
      <c r="A49" t="str">
        <f t="shared" si="13"/>
        <v>B_Repurpose_Echo_ops_PimaTargets|FY2028</v>
      </c>
      <c r="B49" t="str">
        <f>Scenarios!A11</f>
        <v>B_Repurpose_Echo_ops_PimaTargets</v>
      </c>
      <c r="C49" t="s">
        <v>5</v>
      </c>
      <c r="D49">
        <f>IF(Scenarios!D11=1,0, L49)</f>
        <v>0</v>
      </c>
      <c r="E49">
        <f>IF(Scenarios!E11=1,0, M49)</f>
        <v>446</v>
      </c>
      <c r="F49">
        <f t="shared" si="14"/>
        <v>446</v>
      </c>
      <c r="G49" s="2">
        <f>YearMap!B4</f>
        <v>5777.9920349999993</v>
      </c>
      <c r="H49" s="2">
        <f>YearMap!C4</f>
        <v>1264952.2562550001</v>
      </c>
      <c r="I49" s="2">
        <f>YearMap!D4</f>
        <v>1456909.9916400001</v>
      </c>
      <c r="J49">
        <f>1-BaselineCalc!$B$5</f>
        <v>0.99299999999999999</v>
      </c>
      <c r="K49">
        <f>Scenarios!G11</f>
        <v>0</v>
      </c>
      <c r="L49">
        <f>BaselineCalc!$B$7 + ROUND(Scenarios!K11*Scenarios!F11,0)</f>
        <v>257</v>
      </c>
      <c r="M49">
        <f>BaselineCalc!$B$8 + Scenarios!K11 - ROUND(Scenarios!K11*Scenarios!F11,0)</f>
        <v>446</v>
      </c>
      <c r="N49" s="11">
        <f t="shared" si="15"/>
        <v>257</v>
      </c>
      <c r="O49" s="11">
        <f>BaselineCalc!$B$23 * N49</f>
        <v>192.75</v>
      </c>
      <c r="P49">
        <f>YearMap!E4</f>
        <v>600</v>
      </c>
      <c r="Q49">
        <f>IF(Scenarios!N11="lease", YearMap!F4, YearMap!G4)</f>
        <v>0.35</v>
      </c>
      <c r="R49" s="2">
        <f>IF(Scenarios!D11=1, Q49*H49, H49)</f>
        <v>442733.28968925</v>
      </c>
      <c r="S49" s="2">
        <f>IF(Scenarios!E11=1, Q49*I49, I49)</f>
        <v>1456909.9916400001</v>
      </c>
      <c r="T49" s="2">
        <f>IF(C49="FY2026", (Scenarios!D11+Scenarios!E11)*BaselineCalc!$B$22, 0)</f>
        <v>0</v>
      </c>
      <c r="U49" s="2">
        <f t="shared" si="16"/>
        <v>4445291.3348366758</v>
      </c>
      <c r="V49" s="2">
        <f t="shared" si="17"/>
        <v>1229357.9647462498</v>
      </c>
      <c r="W49" s="2">
        <f t="shared" si="18"/>
        <v>5674649.2995829256</v>
      </c>
      <c r="X49" s="2">
        <f t="shared" si="19"/>
        <v>8883.9910756679856</v>
      </c>
      <c r="Y49" s="2">
        <f>INDEX(YearMap!$I$2:$I$6, MATCH(C49, YearMap!$A$2:$A$6, 0))</f>
        <v>5215.5252</v>
      </c>
      <c r="Z49" s="2">
        <f t="shared" si="20"/>
        <v>2343232.5780829256</v>
      </c>
      <c r="AA49" s="2">
        <f t="shared" si="21"/>
        <v>3668.4658756679855</v>
      </c>
      <c r="AB49">
        <f>MAX(0, (MAX(0, $D49-BaselineCalc!$B$7) + MAX(0, $E49-BaselineCalc!$B$8)))</f>
        <v>150</v>
      </c>
      <c r="AC49">
        <f t="shared" si="22"/>
        <v>638.75</v>
      </c>
      <c r="AD49" s="2">
        <f t="shared" si="23"/>
        <v>3331416.7215</v>
      </c>
      <c r="AE49" s="2">
        <f>W49 - (1-Other_Parameters!$B$2)*$G49*$AB49*$J49*(1-$K49)</f>
        <v>5158270.1514149755</v>
      </c>
      <c r="AF49" s="2">
        <f t="shared" si="24"/>
        <v>-1826853.4299149755</v>
      </c>
      <c r="AG49" t="str">
        <f t="shared" si="25"/>
        <v>B_Repurpose_Echo_ops_PimaTargets|FY2028</v>
      </c>
    </row>
    <row r="50" spans="1:33" x14ac:dyDescent="0.35">
      <c r="A50" t="str">
        <f t="shared" si="13"/>
        <v>B_Repurpose_Echo_ops_PimaTargets|FY2029</v>
      </c>
      <c r="B50" t="str">
        <f>Scenarios!A11</f>
        <v>B_Repurpose_Echo_ops_PimaTargets</v>
      </c>
      <c r="C50" t="s">
        <v>6</v>
      </c>
      <c r="D50">
        <f>IF(Scenarios!D11=1,0, L50)</f>
        <v>0</v>
      </c>
      <c r="E50">
        <f>IF(Scenarios!E11=1,0, M50)</f>
        <v>446</v>
      </c>
      <c r="F50">
        <f t="shared" si="14"/>
        <v>446</v>
      </c>
      <c r="G50" s="2">
        <f>YearMap!B5</f>
        <v>5922.4418358749981</v>
      </c>
      <c r="H50" s="2">
        <f>YearMap!C5</f>
        <v>1296576.0626613749</v>
      </c>
      <c r="I50" s="2">
        <f>YearMap!D5</f>
        <v>1493332.7414309999</v>
      </c>
      <c r="J50">
        <f>1-BaselineCalc!$B$5</f>
        <v>0.99299999999999999</v>
      </c>
      <c r="K50">
        <f>Scenarios!G11</f>
        <v>0</v>
      </c>
      <c r="L50">
        <f>BaselineCalc!$B$7 + ROUND(Scenarios!L11*Scenarios!F11,0)</f>
        <v>257</v>
      </c>
      <c r="M50">
        <f>BaselineCalc!$B$8 + Scenarios!L11 - ROUND(Scenarios!L11*Scenarios!F11,0)</f>
        <v>446</v>
      </c>
      <c r="N50" s="11">
        <f t="shared" si="15"/>
        <v>257</v>
      </c>
      <c r="O50" s="11">
        <f>BaselineCalc!$B$23 * N50</f>
        <v>192.75</v>
      </c>
      <c r="P50">
        <f>YearMap!E5</f>
        <v>500</v>
      </c>
      <c r="Q50">
        <f>IF(Scenarios!N11="lease", YearMap!F5, YearMap!G5)</f>
        <v>0.3</v>
      </c>
      <c r="R50" s="2">
        <f>IF(Scenarios!D11=1, Q50*H50, H50)</f>
        <v>388972.81879841245</v>
      </c>
      <c r="S50" s="2">
        <f>IF(Scenarios!E11=1, Q50*I50, I50)</f>
        <v>1493332.7414309999</v>
      </c>
      <c r="T50" s="2">
        <f>IF(C50="FY2026", (Scenarios!D11+Scenarios!E11)*BaselineCalc!$B$22, 0)</f>
        <v>0</v>
      </c>
      <c r="U50" s="2">
        <f t="shared" si="16"/>
        <v>4492048.6166964537</v>
      </c>
      <c r="V50" s="2">
        <f t="shared" si="17"/>
        <v>1237925.6638649059</v>
      </c>
      <c r="W50" s="2">
        <f t="shared" si="18"/>
        <v>5729974.2805613596</v>
      </c>
      <c r="X50" s="2">
        <f t="shared" si="19"/>
        <v>8970.6055272976282</v>
      </c>
      <c r="Y50" s="2">
        <f>INDEX(YearMap!$I$2:$I$6, MATCH(C50, YearMap!$A$2:$A$6, 0))</f>
        <v>5319.8357040000001</v>
      </c>
      <c r="Z50" s="2">
        <f t="shared" si="20"/>
        <v>2331929.2246313593</v>
      </c>
      <c r="AA50" s="2">
        <f t="shared" si="21"/>
        <v>3650.7698232976272</v>
      </c>
      <c r="AB50">
        <f>MAX(0, (MAX(0, $D50-BaselineCalc!$B$7) + MAX(0, $E50-BaselineCalc!$B$8)))</f>
        <v>150</v>
      </c>
      <c r="AC50">
        <f t="shared" si="22"/>
        <v>638.75</v>
      </c>
      <c r="AD50" s="2">
        <f t="shared" si="23"/>
        <v>3398045.0559300003</v>
      </c>
      <c r="AE50" s="2">
        <f>W50 - (1-Other_Parameters!$B$2)*$G50*$AB50*$J50*(1-$K50)</f>
        <v>5200685.6536892112</v>
      </c>
      <c r="AF50" s="2">
        <f t="shared" si="24"/>
        <v>-1802640.597759211</v>
      </c>
      <c r="AG50" t="str">
        <f t="shared" si="25"/>
        <v>B_Repurpose_Echo_ops_PimaTargets|FY2029</v>
      </c>
    </row>
    <row r="51" spans="1:33" x14ac:dyDescent="0.35">
      <c r="A51" t="str">
        <f t="shared" si="13"/>
        <v>B_Repurpose_Echo_ops_PimaTargets|FY2030</v>
      </c>
      <c r="B51" t="str">
        <f>Scenarios!A11</f>
        <v>B_Repurpose_Echo_ops_PimaTargets</v>
      </c>
      <c r="C51" t="s">
        <v>7</v>
      </c>
      <c r="D51">
        <f>IF(Scenarios!D11=1,0, L51)</f>
        <v>0</v>
      </c>
      <c r="E51">
        <f>IF(Scenarios!E11=1,0, M51)</f>
        <v>446</v>
      </c>
      <c r="F51">
        <f t="shared" si="14"/>
        <v>446</v>
      </c>
      <c r="G51" s="2">
        <f>YearMap!B6</f>
        <v>6070.502881771873</v>
      </c>
      <c r="H51" s="2">
        <f>YearMap!C6</f>
        <v>1328990.4642279092</v>
      </c>
      <c r="I51" s="2">
        <f>YearMap!D6</f>
        <v>1530666.0599667749</v>
      </c>
      <c r="J51">
        <f>1-BaselineCalc!$B$5</f>
        <v>0.99299999999999999</v>
      </c>
      <c r="K51">
        <f>Scenarios!G11</f>
        <v>0</v>
      </c>
      <c r="L51">
        <f>BaselineCalc!$B$7 + ROUND(Scenarios!M11*Scenarios!F11,0)</f>
        <v>257</v>
      </c>
      <c r="M51">
        <f>BaselineCalc!$B$8 + Scenarios!M11 - ROUND(Scenarios!M11*Scenarios!F11,0)</f>
        <v>446</v>
      </c>
      <c r="N51" s="11">
        <f t="shared" si="15"/>
        <v>257</v>
      </c>
      <c r="O51" s="11">
        <f>BaselineCalc!$B$23 * N51</f>
        <v>192.75</v>
      </c>
      <c r="P51">
        <f>YearMap!E6</f>
        <v>300</v>
      </c>
      <c r="Q51">
        <f>IF(Scenarios!N11="lease", YearMap!F6, YearMap!G6)</f>
        <v>0.3</v>
      </c>
      <c r="R51" s="2">
        <f>IF(Scenarios!D11=1, Q51*H51, H51)</f>
        <v>398697.13926837273</v>
      </c>
      <c r="S51" s="2">
        <f>IF(Scenarios!E11=1, Q51*I51, I51)</f>
        <v>1530666.0599667749</v>
      </c>
      <c r="T51" s="2">
        <f>IF(C51="FY2026", (Scenarios!D11+Scenarios!E11)*BaselineCalc!$B$22, 0)</f>
        <v>0</v>
      </c>
      <c r="U51" s="2">
        <f t="shared" si="16"/>
        <v>4604349.8321138648</v>
      </c>
      <c r="V51" s="2">
        <f t="shared" si="17"/>
        <v>1227914.4304615285</v>
      </c>
      <c r="W51" s="2">
        <f t="shared" si="18"/>
        <v>5832264.2625753935</v>
      </c>
      <c r="X51" s="2">
        <f t="shared" si="19"/>
        <v>9130.746399335254</v>
      </c>
      <c r="Y51" s="2">
        <f>INDEX(YearMap!$I$2:$I$6, MATCH(C51, YearMap!$A$2:$A$6, 0))</f>
        <v>5426.2324180799997</v>
      </c>
      <c r="Z51" s="2">
        <f t="shared" si="20"/>
        <v>2366258.3055267939</v>
      </c>
      <c r="AA51" s="2">
        <f t="shared" si="21"/>
        <v>3704.5139812552547</v>
      </c>
      <c r="AB51">
        <f>MAX(0, (MAX(0, $D51-BaselineCalc!$B$7) + MAX(0, $E51-BaselineCalc!$B$8)))</f>
        <v>150</v>
      </c>
      <c r="AC51">
        <f t="shared" si="22"/>
        <v>638.75</v>
      </c>
      <c r="AD51" s="2">
        <f t="shared" si="23"/>
        <v>3466005.9570485996</v>
      </c>
      <c r="AE51" s="2">
        <f>W51 - (1-Other_Parameters!$B$2)*$G51*$AB51*$J51*(1-$K51)</f>
        <v>5289743.4200314414</v>
      </c>
      <c r="AF51" s="2">
        <f t="shared" si="24"/>
        <v>-1823737.4629828418</v>
      </c>
      <c r="AG51" t="str">
        <f t="shared" si="25"/>
        <v>B_Repurpose_Echo_ops_PimaTargets|FY2030</v>
      </c>
    </row>
    <row r="52" spans="1:33" x14ac:dyDescent="0.35">
      <c r="A52" t="str">
        <f t="shared" si="13"/>
        <v>C_Repurpose_Pima_lease_EchoGHub_EchoTargets|FY2026</v>
      </c>
      <c r="B52" t="str">
        <f>Scenarios!A12</f>
        <v>C_Repurpose_Pima_lease_EchoGHub_EchoTargets</v>
      </c>
      <c r="C52" t="s">
        <v>3</v>
      </c>
      <c r="D52">
        <f>IF(Scenarios!D12=1,0, L52)</f>
        <v>257</v>
      </c>
      <c r="E52">
        <f>IF(Scenarios!E12=1,0, M52)</f>
        <v>0</v>
      </c>
      <c r="F52">
        <f t="shared" si="14"/>
        <v>257</v>
      </c>
      <c r="G52" s="2">
        <f>YearMap!B2</f>
        <v>5499.5759999999991</v>
      </c>
      <c r="H52" s="2">
        <f>YearMap!C2</f>
        <v>1203999.7679999999</v>
      </c>
      <c r="I52" s="2">
        <f>YearMap!D2</f>
        <v>1386707.9039999999</v>
      </c>
      <c r="J52">
        <f>1-BaselineCalc!$B$5</f>
        <v>0.99299999999999999</v>
      </c>
      <c r="K52">
        <f>Scenarios!G12</f>
        <v>0</v>
      </c>
      <c r="L52">
        <f>BaselineCalc!$B$7 + ROUND(Scenarios!I12*Scenarios!F12,0)</f>
        <v>257</v>
      </c>
      <c r="M52">
        <f>BaselineCalc!$B$8 + Scenarios!I12 - ROUND(Scenarios!I12*Scenarios!F12,0)</f>
        <v>296</v>
      </c>
      <c r="N52" s="11">
        <f t="shared" si="15"/>
        <v>296</v>
      </c>
      <c r="O52" s="11">
        <f>BaselineCalc!$B$23 * N52</f>
        <v>222</v>
      </c>
      <c r="P52">
        <f>YearMap!E2</f>
        <v>1000</v>
      </c>
      <c r="Q52">
        <f>IF(Scenarios!N12="lease", YearMap!F2, YearMap!G2)</f>
        <v>0.4</v>
      </c>
      <c r="R52" s="2">
        <f>IF(Scenarios!D12=1, Q52*H52, H52)</f>
        <v>1203999.7679999999</v>
      </c>
      <c r="S52" s="2">
        <f>IF(Scenarios!E12=1, Q52*I52, I52)</f>
        <v>554683.16159999999</v>
      </c>
      <c r="T52" s="2">
        <f>IF(C52="FY2026", (Scenarios!D12+Scenarios!E12)*BaselineCalc!$B$22, 0)</f>
        <v>1200000</v>
      </c>
      <c r="U52" s="2">
        <f t="shared" si="16"/>
        <v>3149869.4438687996</v>
      </c>
      <c r="V52" s="2">
        <f t="shared" si="17"/>
        <v>1442905.8719999997</v>
      </c>
      <c r="W52" s="2">
        <f t="shared" si="18"/>
        <v>5792775.3158687996</v>
      </c>
      <c r="X52" s="2">
        <f t="shared" si="19"/>
        <v>12093.476651083089</v>
      </c>
      <c r="Y52" s="2">
        <f>INDEX(YearMap!$I$2:$I$6, MATCH(C52, YearMap!$A$2:$A$6, 0))</f>
        <v>5013</v>
      </c>
      <c r="Z52" s="2">
        <f t="shared" si="20"/>
        <v>3391548.3158687996</v>
      </c>
      <c r="AA52" s="2">
        <f t="shared" si="21"/>
        <v>7080.4766510830887</v>
      </c>
      <c r="AB52">
        <f>MAX(0, (MAX(0, $D52-BaselineCalc!$B$7) + MAX(0, $E52-BaselineCalc!$B$8)))</f>
        <v>0</v>
      </c>
      <c r="AC52">
        <f t="shared" si="22"/>
        <v>479</v>
      </c>
      <c r="AD52" s="2">
        <f t="shared" si="23"/>
        <v>2401227</v>
      </c>
      <c r="AE52" s="2">
        <f>W52 - (1-Other_Parameters!$B$2)*$G52*$AB52*$J52*(1-$K52)</f>
        <v>5792775.3158687996</v>
      </c>
      <c r="AF52" s="2">
        <f t="shared" si="24"/>
        <v>-3391548.3158687996</v>
      </c>
      <c r="AG52" t="str">
        <f t="shared" si="25"/>
        <v>C_Repurpose_Pima_lease_EchoGHub_EchoTargets|FY2026</v>
      </c>
    </row>
    <row r="53" spans="1:33" x14ac:dyDescent="0.35">
      <c r="A53" t="str">
        <f t="shared" si="13"/>
        <v>C_Repurpose_Pima_lease_EchoGHub_EchoTargets|FY2027</v>
      </c>
      <c r="B53" t="str">
        <f>Scenarios!A12</f>
        <v>C_Repurpose_Pima_lease_EchoGHub_EchoTargets</v>
      </c>
      <c r="C53" t="s">
        <v>4</v>
      </c>
      <c r="D53">
        <f>IF(Scenarios!D12=1,0, L53)</f>
        <v>257</v>
      </c>
      <c r="E53">
        <f>IF(Scenarios!E12=1,0, M53)</f>
        <v>0</v>
      </c>
      <c r="F53">
        <f t="shared" si="14"/>
        <v>257</v>
      </c>
      <c r="G53" s="2">
        <f>YearMap!B3</f>
        <v>5637.0653999999995</v>
      </c>
      <c r="H53" s="2">
        <f>YearMap!C3</f>
        <v>1234099.7622</v>
      </c>
      <c r="I53" s="2">
        <f>YearMap!D3</f>
        <v>1421375.6015999999</v>
      </c>
      <c r="J53">
        <f>1-BaselineCalc!$B$5</f>
        <v>0.99299999999999999</v>
      </c>
      <c r="K53">
        <f>Scenarios!G12</f>
        <v>0</v>
      </c>
      <c r="L53">
        <f>BaselineCalc!$B$7 + ROUND(Scenarios!J12*Scenarios!F12,0)</f>
        <v>257</v>
      </c>
      <c r="M53">
        <f>BaselineCalc!$B$8 + Scenarios!J12 - ROUND(Scenarios!J12*Scenarios!F12,0)</f>
        <v>296</v>
      </c>
      <c r="N53" s="11">
        <f t="shared" si="15"/>
        <v>296</v>
      </c>
      <c r="O53" s="11">
        <f>BaselineCalc!$B$23 * N53</f>
        <v>222</v>
      </c>
      <c r="P53">
        <f>YearMap!E3</f>
        <v>800</v>
      </c>
      <c r="Q53">
        <f>IF(Scenarios!N12="lease", YearMap!F3, YearMap!G3)</f>
        <v>0.3</v>
      </c>
      <c r="R53" s="2">
        <f>IF(Scenarios!D12=1, Q53*H53, H53)</f>
        <v>1234099.7622</v>
      </c>
      <c r="S53" s="2">
        <f>IF(Scenarios!E12=1, Q53*I53, I53)</f>
        <v>426412.68047999998</v>
      </c>
      <c r="T53" s="2">
        <f>IF(C53="FY2026", (Scenarios!D12+Scenarios!E12)*BaselineCalc!$B$22, 0)</f>
        <v>0</v>
      </c>
      <c r="U53" s="2">
        <f t="shared" si="16"/>
        <v>3087473.5827266397</v>
      </c>
      <c r="V53" s="2">
        <f t="shared" si="17"/>
        <v>1429028.5188</v>
      </c>
      <c r="W53" s="2">
        <f t="shared" si="18"/>
        <v>4516502.1015266394</v>
      </c>
      <c r="X53" s="2">
        <f t="shared" si="19"/>
        <v>9429.0231764647997</v>
      </c>
      <c r="Y53" s="2">
        <f>INDEX(YearMap!$I$2:$I$6, MATCH(C53, YearMap!$A$2:$A$6, 0))</f>
        <v>5113.26</v>
      </c>
      <c r="Z53" s="2">
        <f t="shared" si="20"/>
        <v>2067250.5615266394</v>
      </c>
      <c r="AA53" s="2">
        <f t="shared" si="21"/>
        <v>4315.7631764648004</v>
      </c>
      <c r="AB53">
        <f>MAX(0, (MAX(0, $D53-BaselineCalc!$B$7) + MAX(0, $E53-BaselineCalc!$B$8)))</f>
        <v>0</v>
      </c>
      <c r="AC53">
        <f t="shared" si="22"/>
        <v>479</v>
      </c>
      <c r="AD53" s="2">
        <f t="shared" si="23"/>
        <v>2449251.54</v>
      </c>
      <c r="AE53" s="2">
        <f>W53 - (1-Other_Parameters!$B$2)*$G53*$AB53*$J53*(1-$K53)</f>
        <v>4516502.1015266394</v>
      </c>
      <c r="AF53" s="2">
        <f t="shared" si="24"/>
        <v>-2067250.5615266394</v>
      </c>
      <c r="AG53" t="str">
        <f t="shared" si="25"/>
        <v>C_Repurpose_Pima_lease_EchoGHub_EchoTargets|FY2027</v>
      </c>
    </row>
    <row r="54" spans="1:33" x14ac:dyDescent="0.35">
      <c r="A54" t="str">
        <f t="shared" si="13"/>
        <v>C_Repurpose_Pima_lease_EchoGHub_EchoTargets|FY2028</v>
      </c>
      <c r="B54" t="str">
        <f>Scenarios!A12</f>
        <v>C_Repurpose_Pima_lease_EchoGHub_EchoTargets</v>
      </c>
      <c r="C54" t="s">
        <v>5</v>
      </c>
      <c r="D54">
        <f>IF(Scenarios!D12=1,0, L54)</f>
        <v>257</v>
      </c>
      <c r="E54">
        <f>IF(Scenarios!E12=1,0, M54)</f>
        <v>0</v>
      </c>
      <c r="F54">
        <f t="shared" si="14"/>
        <v>257</v>
      </c>
      <c r="G54" s="2">
        <f>YearMap!B4</f>
        <v>5777.9920349999993</v>
      </c>
      <c r="H54" s="2">
        <f>YearMap!C4</f>
        <v>1264952.2562550001</v>
      </c>
      <c r="I54" s="2">
        <f>YearMap!D4</f>
        <v>1456909.9916400001</v>
      </c>
      <c r="J54">
        <f>1-BaselineCalc!$B$5</f>
        <v>0.99299999999999999</v>
      </c>
      <c r="K54">
        <f>Scenarios!G12</f>
        <v>0</v>
      </c>
      <c r="L54">
        <f>BaselineCalc!$B$7 + ROUND(Scenarios!K12*Scenarios!F12,0)</f>
        <v>257</v>
      </c>
      <c r="M54">
        <f>BaselineCalc!$B$8 + Scenarios!K12 - ROUND(Scenarios!K12*Scenarios!F12,0)</f>
        <v>296</v>
      </c>
      <c r="N54" s="11">
        <f t="shared" si="15"/>
        <v>296</v>
      </c>
      <c r="O54" s="11">
        <f>BaselineCalc!$B$23 * N54</f>
        <v>222</v>
      </c>
      <c r="P54">
        <f>YearMap!E4</f>
        <v>600</v>
      </c>
      <c r="Q54">
        <f>IF(Scenarios!N12="lease", YearMap!F4, YearMap!G4)</f>
        <v>0.2</v>
      </c>
      <c r="R54" s="2">
        <f>IF(Scenarios!D12=1, Q54*H54, H54)</f>
        <v>1264952.2562550001</v>
      </c>
      <c r="S54" s="2">
        <f>IF(Scenarios!E12=1, Q54*I54, I54)</f>
        <v>291381.99832800002</v>
      </c>
      <c r="T54" s="2">
        <f>IF(C54="FY2026", (Scenarios!D12+Scenarios!E12)*BaselineCalc!$B$22, 0)</f>
        <v>0</v>
      </c>
      <c r="U54" s="2">
        <f t="shared" si="16"/>
        <v>3019989.2601249535</v>
      </c>
      <c r="V54" s="2">
        <f t="shared" si="17"/>
        <v>1415914.23177</v>
      </c>
      <c r="W54" s="2">
        <f t="shared" si="18"/>
        <v>4435903.491894953</v>
      </c>
      <c r="X54" s="2">
        <f t="shared" si="19"/>
        <v>9260.7588557305899</v>
      </c>
      <c r="Y54" s="2">
        <f>INDEX(YearMap!$I$2:$I$6, MATCH(C54, YearMap!$A$2:$A$6, 0))</f>
        <v>5215.5252</v>
      </c>
      <c r="Z54" s="2">
        <f t="shared" si="20"/>
        <v>1937666.9210949531</v>
      </c>
      <c r="AA54" s="2">
        <f t="shared" si="21"/>
        <v>4045.2336557305912</v>
      </c>
      <c r="AB54">
        <f>MAX(0, (MAX(0, $D54-BaselineCalc!$B$7) + MAX(0, $E54-BaselineCalc!$B$8)))</f>
        <v>0</v>
      </c>
      <c r="AC54">
        <f t="shared" si="22"/>
        <v>479</v>
      </c>
      <c r="AD54" s="2">
        <f t="shared" si="23"/>
        <v>2498236.5707999999</v>
      </c>
      <c r="AE54" s="2">
        <f>W54 - (1-Other_Parameters!$B$2)*$G54*$AB54*$J54*(1-$K54)</f>
        <v>4435903.491894953</v>
      </c>
      <c r="AF54" s="2">
        <f t="shared" si="24"/>
        <v>-1937666.9210949531</v>
      </c>
      <c r="AG54" t="str">
        <f t="shared" si="25"/>
        <v>C_Repurpose_Pima_lease_EchoGHub_EchoTargets|FY2028</v>
      </c>
    </row>
    <row r="55" spans="1:33" x14ac:dyDescent="0.35">
      <c r="A55" t="str">
        <f t="shared" si="13"/>
        <v>C_Repurpose_Pima_lease_EchoGHub_EchoTargets|FY2029</v>
      </c>
      <c r="B55" t="str">
        <f>Scenarios!A12</f>
        <v>C_Repurpose_Pima_lease_EchoGHub_EchoTargets</v>
      </c>
      <c r="C55" t="s">
        <v>6</v>
      </c>
      <c r="D55">
        <f>IF(Scenarios!D12=1,0, L55)</f>
        <v>257</v>
      </c>
      <c r="E55">
        <f>IF(Scenarios!E12=1,0, M55)</f>
        <v>0</v>
      </c>
      <c r="F55">
        <f t="shared" si="14"/>
        <v>257</v>
      </c>
      <c r="G55" s="2">
        <f>YearMap!B5</f>
        <v>5922.4418358749981</v>
      </c>
      <c r="H55" s="2">
        <f>YearMap!C5</f>
        <v>1296576.0626613749</v>
      </c>
      <c r="I55" s="2">
        <f>YearMap!D5</f>
        <v>1493332.7414309999</v>
      </c>
      <c r="J55">
        <f>1-BaselineCalc!$B$5</f>
        <v>0.99299999999999999</v>
      </c>
      <c r="K55">
        <f>Scenarios!G12</f>
        <v>0</v>
      </c>
      <c r="L55">
        <f>BaselineCalc!$B$7 + ROUND(Scenarios!L12*Scenarios!F12,0)</f>
        <v>257</v>
      </c>
      <c r="M55">
        <f>BaselineCalc!$B$8 + Scenarios!L12 - ROUND(Scenarios!L12*Scenarios!F12,0)</f>
        <v>296</v>
      </c>
      <c r="N55" s="11">
        <f t="shared" si="15"/>
        <v>296</v>
      </c>
      <c r="O55" s="11">
        <f>BaselineCalc!$B$23 * N55</f>
        <v>222</v>
      </c>
      <c r="P55">
        <f>YearMap!E5</f>
        <v>500</v>
      </c>
      <c r="Q55">
        <f>IF(Scenarios!N12="lease", YearMap!F5, YearMap!G5)</f>
        <v>0.1</v>
      </c>
      <c r="R55" s="2">
        <f>IF(Scenarios!D12=1, Q55*H55, H55)</f>
        <v>1296576.0626613749</v>
      </c>
      <c r="S55" s="2">
        <f>IF(Scenarios!E12=1, Q55*I55, I55)</f>
        <v>149333.27414309999</v>
      </c>
      <c r="T55" s="2">
        <f>IF(C55="FY2026", (Scenarios!D12+Scenarios!E12)*BaselineCalc!$B$22, 0)</f>
        <v>0</v>
      </c>
      <c r="U55" s="2">
        <f t="shared" si="16"/>
        <v>2947201.0504039791</v>
      </c>
      <c r="V55" s="2">
        <f t="shared" si="17"/>
        <v>1425782.0875642495</v>
      </c>
      <c r="W55" s="2">
        <f t="shared" si="18"/>
        <v>4372983.1379682291</v>
      </c>
      <c r="X55" s="2">
        <f t="shared" si="19"/>
        <v>9129.4011231069508</v>
      </c>
      <c r="Y55" s="2">
        <f>INDEX(YearMap!$I$2:$I$6, MATCH(C55, YearMap!$A$2:$A$6, 0))</f>
        <v>5319.8357040000001</v>
      </c>
      <c r="Z55" s="2">
        <f t="shared" si="20"/>
        <v>1824781.8357522292</v>
      </c>
      <c r="AA55" s="2">
        <f t="shared" si="21"/>
        <v>3809.5654191069502</v>
      </c>
      <c r="AB55">
        <f>MAX(0, (MAX(0, $D55-BaselineCalc!$B$7) + MAX(0, $E55-BaselineCalc!$B$8)))</f>
        <v>0</v>
      </c>
      <c r="AC55">
        <f t="shared" si="22"/>
        <v>479</v>
      </c>
      <c r="AD55" s="2">
        <f t="shared" si="23"/>
        <v>2548201.3022159999</v>
      </c>
      <c r="AE55" s="2">
        <f>W55 - (1-Other_Parameters!$B$2)*$G55*$AB55*$J55*(1-$K55)</f>
        <v>4372983.1379682291</v>
      </c>
      <c r="AF55" s="2">
        <f t="shared" si="24"/>
        <v>-1824781.8357522292</v>
      </c>
      <c r="AG55" t="str">
        <f t="shared" si="25"/>
        <v>C_Repurpose_Pima_lease_EchoGHub_EchoTargets|FY2029</v>
      </c>
    </row>
    <row r="56" spans="1:33" x14ac:dyDescent="0.35">
      <c r="A56" t="str">
        <f t="shared" si="13"/>
        <v>C_Repurpose_Pima_lease_EchoGHub_EchoTargets|FY2030</v>
      </c>
      <c r="B56" t="str">
        <f>Scenarios!A12</f>
        <v>C_Repurpose_Pima_lease_EchoGHub_EchoTargets</v>
      </c>
      <c r="C56" t="s">
        <v>7</v>
      </c>
      <c r="D56">
        <f>IF(Scenarios!D12=1,0, L56)</f>
        <v>257</v>
      </c>
      <c r="E56">
        <f>IF(Scenarios!E12=1,0, M56)</f>
        <v>0</v>
      </c>
      <c r="F56">
        <f t="shared" si="14"/>
        <v>257</v>
      </c>
      <c r="G56" s="2">
        <f>YearMap!B6</f>
        <v>6070.502881771873</v>
      </c>
      <c r="H56" s="2">
        <f>YearMap!C6</f>
        <v>1328990.4642279092</v>
      </c>
      <c r="I56" s="2">
        <f>YearMap!D6</f>
        <v>1530666.0599667749</v>
      </c>
      <c r="J56">
        <f>1-BaselineCalc!$B$5</f>
        <v>0.99299999999999999</v>
      </c>
      <c r="K56">
        <f>Scenarios!G12</f>
        <v>0</v>
      </c>
      <c r="L56">
        <f>BaselineCalc!$B$7 + ROUND(Scenarios!M12*Scenarios!F12,0)</f>
        <v>257</v>
      </c>
      <c r="M56">
        <f>BaselineCalc!$B$8 + Scenarios!M12 - ROUND(Scenarios!M12*Scenarios!F12,0)</f>
        <v>296</v>
      </c>
      <c r="N56" s="11">
        <f t="shared" si="15"/>
        <v>296</v>
      </c>
      <c r="O56" s="11">
        <f>BaselineCalc!$B$23 * N56</f>
        <v>222</v>
      </c>
      <c r="P56">
        <f>YearMap!E6</f>
        <v>300</v>
      </c>
      <c r="Q56">
        <f>IF(Scenarios!N12="lease", YearMap!F6, YearMap!G6)</f>
        <v>0.1</v>
      </c>
      <c r="R56" s="2">
        <f>IF(Scenarios!D12=1, Q56*H56, H56)</f>
        <v>1328990.4642279092</v>
      </c>
      <c r="S56" s="2">
        <f>IF(Scenarios!E12=1, Q56*I56, I56)</f>
        <v>153066.60599667751</v>
      </c>
      <c r="T56" s="2">
        <f>IF(C56="FY2026", (Scenarios!D12+Scenarios!E12)*BaselineCalc!$B$22, 0)</f>
        <v>0</v>
      </c>
      <c r="U56" s="2">
        <f t="shared" si="16"/>
        <v>3020881.0766640785</v>
      </c>
      <c r="V56" s="2">
        <f t="shared" si="17"/>
        <v>1414251.6397533559</v>
      </c>
      <c r="W56" s="2">
        <f t="shared" si="18"/>
        <v>4435132.7164174346</v>
      </c>
      <c r="X56" s="2">
        <f t="shared" si="19"/>
        <v>9259.1497211219921</v>
      </c>
      <c r="Y56" s="2">
        <f>INDEX(YearMap!$I$2:$I$6, MATCH(C56, YearMap!$A$2:$A$6, 0))</f>
        <v>5426.2324180799997</v>
      </c>
      <c r="Z56" s="2">
        <f t="shared" si="20"/>
        <v>1835967.3881571149</v>
      </c>
      <c r="AA56" s="2">
        <f t="shared" si="21"/>
        <v>3832.9173030419934</v>
      </c>
      <c r="AB56">
        <f>MAX(0, (MAX(0, $D56-BaselineCalc!$B$7) + MAX(0, $E56-BaselineCalc!$B$8)))</f>
        <v>0</v>
      </c>
      <c r="AC56">
        <f t="shared" si="22"/>
        <v>479</v>
      </c>
      <c r="AD56" s="2">
        <f t="shared" si="23"/>
        <v>2599165.3282603198</v>
      </c>
      <c r="AE56" s="2">
        <f>W56 - (1-Other_Parameters!$B$2)*$G56*$AB56*$J56*(1-$K56)</f>
        <v>4435132.7164174346</v>
      </c>
      <c r="AF56" s="2">
        <f t="shared" si="24"/>
        <v>-1835967.3881571149</v>
      </c>
      <c r="AG56" t="str">
        <f t="shared" si="25"/>
        <v>C_Repurpose_Pima_lease_EchoGHub_EchoTargets|FY2030</v>
      </c>
    </row>
    <row r="57" spans="1:33" x14ac:dyDescent="0.35">
      <c r="A57" t="str">
        <f t="shared" si="13"/>
        <v>C_Repurpose_Pima_ops_EchoGHub_EchoTargets|FY2026</v>
      </c>
      <c r="B57" t="str">
        <f>Scenarios!A13</f>
        <v>C_Repurpose_Pima_ops_EchoGHub_EchoTargets</v>
      </c>
      <c r="C57" t="s">
        <v>3</v>
      </c>
      <c r="D57">
        <f>IF(Scenarios!D13=1,0, L57)</f>
        <v>457</v>
      </c>
      <c r="E57">
        <f>IF(Scenarios!E13=1,0, M57)</f>
        <v>0</v>
      </c>
      <c r="F57">
        <f t="shared" si="14"/>
        <v>457</v>
      </c>
      <c r="G57" s="2">
        <f>YearMap!B2</f>
        <v>5499.5759999999991</v>
      </c>
      <c r="H57" s="2">
        <f>YearMap!C2</f>
        <v>1203999.7679999999</v>
      </c>
      <c r="I57" s="2">
        <f>YearMap!D2</f>
        <v>1386707.9039999999</v>
      </c>
      <c r="J57">
        <f>1-BaselineCalc!$B$5</f>
        <v>0.99299999999999999</v>
      </c>
      <c r="K57">
        <f>Scenarios!G13</f>
        <v>0</v>
      </c>
      <c r="L57">
        <f>BaselineCalc!$B$7 + ROUND(Scenarios!I13*Scenarios!F13,0)</f>
        <v>457</v>
      </c>
      <c r="M57">
        <f>BaselineCalc!$B$8 + Scenarios!I13 - ROUND(Scenarios!I13*Scenarios!F13,0)</f>
        <v>296</v>
      </c>
      <c r="N57" s="11">
        <f t="shared" si="15"/>
        <v>296</v>
      </c>
      <c r="O57" s="11">
        <f>BaselineCalc!$B$23 * N57</f>
        <v>222</v>
      </c>
      <c r="P57">
        <f>YearMap!E2</f>
        <v>1000</v>
      </c>
      <c r="Q57">
        <f>IF(Scenarios!N13="lease", YearMap!F2, YearMap!G2)</f>
        <v>0.5</v>
      </c>
      <c r="R57" s="2">
        <f>IF(Scenarios!D13=1, Q57*H57, H57)</f>
        <v>1203999.7679999999</v>
      </c>
      <c r="S57" s="2">
        <f>IF(Scenarios!E13=1, Q57*I57, I57)</f>
        <v>693353.95199999993</v>
      </c>
      <c r="T57" s="2">
        <f>IF(C57="FY2026", (Scenarios!D13+Scenarios!E13)*BaselineCalc!$B$22, 0)</f>
        <v>1200000</v>
      </c>
      <c r="U57" s="2">
        <f t="shared" si="16"/>
        <v>4379785.3323359992</v>
      </c>
      <c r="V57" s="2">
        <f t="shared" si="17"/>
        <v>1442905.8719999997</v>
      </c>
      <c r="W57" s="2">
        <f t="shared" si="18"/>
        <v>7022691.2043359987</v>
      </c>
      <c r="X57" s="2">
        <f t="shared" si="19"/>
        <v>10342.696913602354</v>
      </c>
      <c r="Y57" s="2">
        <f>INDEX(YearMap!$I$2:$I$6, MATCH(C57, YearMap!$A$2:$A$6, 0))</f>
        <v>5013</v>
      </c>
      <c r="Z57" s="2">
        <f t="shared" si="20"/>
        <v>3618864.2043359987</v>
      </c>
      <c r="AA57" s="2">
        <f t="shared" si="21"/>
        <v>5329.6969136023545</v>
      </c>
      <c r="AB57">
        <f>MAX(0, (MAX(0, $D57-BaselineCalc!$B$7) + MAX(0, $E57-BaselineCalc!$B$8)))</f>
        <v>200</v>
      </c>
      <c r="AC57">
        <f>IF(LEFT($B57,2)="A_", $O57, IF(LEFT($B57,2)="B_", $M57+$O57, IF(LEFT($B57,2)="C_", $L57+$O57, $F57)))</f>
        <v>679</v>
      </c>
      <c r="AD57" s="2">
        <f t="shared" si="23"/>
        <v>3403827</v>
      </c>
      <c r="AE57" s="2">
        <f>W57 - (1-Other_Parameters!$B$2)*$G57*$AB57*$J57*(1-$K57)</f>
        <v>6367361.7281759987</v>
      </c>
      <c r="AF57" s="2">
        <f t="shared" si="24"/>
        <v>-2963534.7281759987</v>
      </c>
      <c r="AG57" t="str">
        <f t="shared" si="25"/>
        <v>C_Repurpose_Pima_ops_EchoGHub_EchoTargets|FY2026</v>
      </c>
    </row>
    <row r="58" spans="1:33" x14ac:dyDescent="0.35">
      <c r="A58" t="str">
        <f t="shared" si="13"/>
        <v>C_Repurpose_Pima_ops_EchoGHub_EchoTargets|FY2027</v>
      </c>
      <c r="B58" t="str">
        <f>Scenarios!A13</f>
        <v>C_Repurpose_Pima_ops_EchoGHub_EchoTargets</v>
      </c>
      <c r="C58" t="s">
        <v>4</v>
      </c>
      <c r="D58">
        <f>IF(Scenarios!D13=1,0, L58)</f>
        <v>457</v>
      </c>
      <c r="E58">
        <f>IF(Scenarios!E13=1,0, M58)</f>
        <v>0</v>
      </c>
      <c r="F58">
        <f t="shared" si="14"/>
        <v>457</v>
      </c>
      <c r="G58" s="2">
        <f>YearMap!B3</f>
        <v>5637.0653999999995</v>
      </c>
      <c r="H58" s="2">
        <f>YearMap!C3</f>
        <v>1234099.7622</v>
      </c>
      <c r="I58" s="2">
        <f>YearMap!D3</f>
        <v>1421375.6015999999</v>
      </c>
      <c r="J58">
        <f>1-BaselineCalc!$B$5</f>
        <v>0.99299999999999999</v>
      </c>
      <c r="K58">
        <f>Scenarios!G13</f>
        <v>0</v>
      </c>
      <c r="L58">
        <f>BaselineCalc!$B$7 + ROUND(Scenarios!J13*Scenarios!F13,0)</f>
        <v>457</v>
      </c>
      <c r="M58">
        <f>BaselineCalc!$B$8 + Scenarios!J13 - ROUND(Scenarios!J13*Scenarios!F13,0)</f>
        <v>296</v>
      </c>
      <c r="N58" s="11">
        <f t="shared" si="15"/>
        <v>296</v>
      </c>
      <c r="O58" s="11">
        <f>BaselineCalc!$B$23 * N58</f>
        <v>222</v>
      </c>
      <c r="P58">
        <f>YearMap!E3</f>
        <v>800</v>
      </c>
      <c r="Q58">
        <f>IF(Scenarios!N13="lease", YearMap!F3, YearMap!G3)</f>
        <v>0.4</v>
      </c>
      <c r="R58" s="2">
        <f>IF(Scenarios!D13=1, Q58*H58, H58)</f>
        <v>1234099.7622</v>
      </c>
      <c r="S58" s="2">
        <f>IF(Scenarios!E13=1, Q58*I58, I58)</f>
        <v>568550.24063999997</v>
      </c>
      <c r="T58" s="2">
        <f>IF(C58="FY2026", (Scenarios!D13+Scenarios!E13)*BaselineCalc!$B$22, 0)</f>
        <v>0</v>
      </c>
      <c r="U58" s="2">
        <f t="shared" si="16"/>
        <v>4348137.36840552</v>
      </c>
      <c r="V58" s="2">
        <f t="shared" si="17"/>
        <v>1429028.5188</v>
      </c>
      <c r="W58" s="2">
        <f t="shared" si="18"/>
        <v>5777165.8872055197</v>
      </c>
      <c r="X58" s="2">
        <f t="shared" si="19"/>
        <v>8508.3444583291894</v>
      </c>
      <c r="Y58" s="2">
        <f>INDEX(YearMap!$I$2:$I$6, MATCH(C58, YearMap!$A$2:$A$6, 0))</f>
        <v>5113.26</v>
      </c>
      <c r="Z58" s="2">
        <f t="shared" si="20"/>
        <v>2305262.3472055197</v>
      </c>
      <c r="AA58" s="2">
        <f t="shared" si="21"/>
        <v>3395.0844583291896</v>
      </c>
      <c r="AB58">
        <f>MAX(0, (MAX(0, $D58-BaselineCalc!$B$7) + MAX(0, $E58-BaselineCalc!$B$8)))</f>
        <v>200</v>
      </c>
      <c r="AC58">
        <f t="shared" si="22"/>
        <v>679</v>
      </c>
      <c r="AD58" s="2">
        <f t="shared" si="23"/>
        <v>3471903.54</v>
      </c>
      <c r="AE58" s="2">
        <f>W58 - (1-Other_Parameters!$B$2)*$G58*$AB58*$J58*(1-$K58)</f>
        <v>5105453.1741415197</v>
      </c>
      <c r="AF58" s="2">
        <f t="shared" si="24"/>
        <v>-1633549.6341415197</v>
      </c>
      <c r="AG58" t="str">
        <f t="shared" si="25"/>
        <v>C_Repurpose_Pima_ops_EchoGHub_EchoTargets|FY2027</v>
      </c>
    </row>
    <row r="59" spans="1:33" x14ac:dyDescent="0.35">
      <c r="A59" t="str">
        <f t="shared" si="13"/>
        <v>C_Repurpose_Pima_ops_EchoGHub_EchoTargets|FY2028</v>
      </c>
      <c r="B59" t="str">
        <f>Scenarios!A13</f>
        <v>C_Repurpose_Pima_ops_EchoGHub_EchoTargets</v>
      </c>
      <c r="C59" t="s">
        <v>5</v>
      </c>
      <c r="D59">
        <f>IF(Scenarios!D13=1,0, L59)</f>
        <v>457</v>
      </c>
      <c r="E59">
        <f>IF(Scenarios!E13=1,0, M59)</f>
        <v>0</v>
      </c>
      <c r="F59">
        <f t="shared" si="14"/>
        <v>457</v>
      </c>
      <c r="G59" s="2">
        <f>YearMap!B4</f>
        <v>5777.9920349999993</v>
      </c>
      <c r="H59" s="2">
        <f>YearMap!C4</f>
        <v>1264952.2562550001</v>
      </c>
      <c r="I59" s="2">
        <f>YearMap!D4</f>
        <v>1456909.9916400001</v>
      </c>
      <c r="J59">
        <f>1-BaselineCalc!$B$5</f>
        <v>0.99299999999999999</v>
      </c>
      <c r="K59">
        <f>Scenarios!G13</f>
        <v>0</v>
      </c>
      <c r="L59">
        <f>BaselineCalc!$B$7 + ROUND(Scenarios!K13*Scenarios!F13,0)</f>
        <v>457</v>
      </c>
      <c r="M59">
        <f>BaselineCalc!$B$8 + Scenarios!K13 - ROUND(Scenarios!K13*Scenarios!F13,0)</f>
        <v>296</v>
      </c>
      <c r="N59" s="11">
        <f t="shared" si="15"/>
        <v>296</v>
      </c>
      <c r="O59" s="11">
        <f>BaselineCalc!$B$23 * N59</f>
        <v>222</v>
      </c>
      <c r="P59">
        <f>YearMap!E4</f>
        <v>600</v>
      </c>
      <c r="Q59">
        <f>IF(Scenarios!N13="lease", YearMap!F4, YearMap!G4)</f>
        <v>0.35</v>
      </c>
      <c r="R59" s="2">
        <f>IF(Scenarios!D13=1, Q59*H59, H59)</f>
        <v>1264952.2562550001</v>
      </c>
      <c r="S59" s="2">
        <f>IF(Scenarios!E13=1, Q59*I59, I59)</f>
        <v>509918.49707400001</v>
      </c>
      <c r="T59" s="2">
        <f>IF(C59="FY2026", (Scenarios!D13+Scenarios!E13)*BaselineCalc!$B$22, 0)</f>
        <v>0</v>
      </c>
      <c r="U59" s="2">
        <f t="shared" si="16"/>
        <v>4384505.2215307318</v>
      </c>
      <c r="V59" s="2">
        <f t="shared" si="17"/>
        <v>1415914.23177</v>
      </c>
      <c r="W59" s="2">
        <f t="shared" si="18"/>
        <v>5800419.4533007313</v>
      </c>
      <c r="X59" s="2">
        <f t="shared" si="19"/>
        <v>8542.5912419745673</v>
      </c>
      <c r="Y59" s="2">
        <f>INDEX(YearMap!$I$2:$I$6, MATCH(C59, YearMap!$A$2:$A$6, 0))</f>
        <v>5215.5252</v>
      </c>
      <c r="Z59" s="2">
        <f t="shared" si="20"/>
        <v>2259077.8425007313</v>
      </c>
      <c r="AA59" s="2">
        <f t="shared" si="21"/>
        <v>3327.0660419745677</v>
      </c>
      <c r="AB59">
        <f>MAX(0, (MAX(0, $D59-BaselineCalc!$B$7) + MAX(0, $E59-BaselineCalc!$B$8)))</f>
        <v>200</v>
      </c>
      <c r="AC59">
        <f t="shared" si="22"/>
        <v>679</v>
      </c>
      <c r="AD59" s="2">
        <f t="shared" si="23"/>
        <v>3541341.6107999999</v>
      </c>
      <c r="AE59" s="2">
        <f>W59 - (1-Other_Parameters!$B$2)*$G59*$AB59*$J59*(1-$K59)</f>
        <v>5111913.9224101314</v>
      </c>
      <c r="AF59" s="2">
        <f t="shared" si="24"/>
        <v>-1570572.3116101315</v>
      </c>
      <c r="AG59" t="str">
        <f t="shared" si="25"/>
        <v>C_Repurpose_Pima_ops_EchoGHub_EchoTargets|FY2028</v>
      </c>
    </row>
    <row r="60" spans="1:33" x14ac:dyDescent="0.35">
      <c r="A60" t="str">
        <f t="shared" si="13"/>
        <v>C_Repurpose_Pima_ops_EchoGHub_EchoTargets|FY2029</v>
      </c>
      <c r="B60" t="str">
        <f>Scenarios!A13</f>
        <v>C_Repurpose_Pima_ops_EchoGHub_EchoTargets</v>
      </c>
      <c r="C60" t="s">
        <v>6</v>
      </c>
      <c r="D60">
        <f>IF(Scenarios!D13=1,0, L60)</f>
        <v>457</v>
      </c>
      <c r="E60">
        <f>IF(Scenarios!E13=1,0, M60)</f>
        <v>0</v>
      </c>
      <c r="F60">
        <f t="shared" si="14"/>
        <v>457</v>
      </c>
      <c r="G60" s="2">
        <f>YearMap!B5</f>
        <v>5922.4418358749981</v>
      </c>
      <c r="H60" s="2">
        <f>YearMap!C5</f>
        <v>1296576.0626613749</v>
      </c>
      <c r="I60" s="2">
        <f>YearMap!D5</f>
        <v>1493332.7414309999</v>
      </c>
      <c r="J60">
        <f>1-BaselineCalc!$B$5</f>
        <v>0.99299999999999999</v>
      </c>
      <c r="K60">
        <f>Scenarios!G13</f>
        <v>0</v>
      </c>
      <c r="L60">
        <f>BaselineCalc!$B$7 + ROUND(Scenarios!L13*Scenarios!F13,0)</f>
        <v>457</v>
      </c>
      <c r="M60">
        <f>BaselineCalc!$B$8 + Scenarios!L13 - ROUND(Scenarios!L13*Scenarios!F13,0)</f>
        <v>296</v>
      </c>
      <c r="N60" s="11">
        <f t="shared" si="15"/>
        <v>296</v>
      </c>
      <c r="O60" s="11">
        <f>BaselineCalc!$B$23 * N60</f>
        <v>222</v>
      </c>
      <c r="P60">
        <f>YearMap!E5</f>
        <v>500</v>
      </c>
      <c r="Q60">
        <f>IF(Scenarios!N13="lease", YearMap!F5, YearMap!G5)</f>
        <v>0.3</v>
      </c>
      <c r="R60" s="2">
        <f>IF(Scenarios!D13=1, Q60*H60, H60)</f>
        <v>1296576.0626613749</v>
      </c>
      <c r="S60" s="2">
        <f>IF(Scenarios!E13=1, Q60*I60, I60)</f>
        <v>447999.82242929999</v>
      </c>
      <c r="T60" s="2">
        <f>IF(C60="FY2026", (Scenarios!D13+Scenarios!E13)*BaselineCalc!$B$22, 0)</f>
        <v>0</v>
      </c>
      <c r="U60" s="2">
        <f t="shared" si="16"/>
        <v>4419973.8814569497</v>
      </c>
      <c r="V60" s="2">
        <f t="shared" si="17"/>
        <v>1425782.0875642495</v>
      </c>
      <c r="W60" s="2">
        <f t="shared" si="18"/>
        <v>5845755.9690211993</v>
      </c>
      <c r="X60" s="2">
        <f t="shared" si="19"/>
        <v>8609.360779118113</v>
      </c>
      <c r="Y60" s="2">
        <f>INDEX(YearMap!$I$2:$I$6, MATCH(C60, YearMap!$A$2:$A$6, 0))</f>
        <v>5319.8357040000001</v>
      </c>
      <c r="Z60" s="2">
        <f t="shared" si="20"/>
        <v>2233587.5260051992</v>
      </c>
      <c r="AA60" s="2">
        <f t="shared" si="21"/>
        <v>3289.5250751181138</v>
      </c>
      <c r="AB60">
        <f>MAX(0, (MAX(0, $D60-BaselineCalc!$B$7) + MAX(0, $E60-BaselineCalc!$B$8)))</f>
        <v>200</v>
      </c>
      <c r="AC60">
        <f t="shared" si="22"/>
        <v>679</v>
      </c>
      <c r="AD60" s="2">
        <f t="shared" si="23"/>
        <v>3612168.4430160001</v>
      </c>
      <c r="AE60" s="2">
        <f>W60 - (1-Other_Parameters!$B$2)*$G60*$AB60*$J60*(1-$K60)</f>
        <v>5140037.7998583345</v>
      </c>
      <c r="AF60" s="2">
        <f t="shared" si="24"/>
        <v>-1527869.3568423344</v>
      </c>
      <c r="AG60" t="str">
        <f t="shared" si="25"/>
        <v>C_Repurpose_Pima_ops_EchoGHub_EchoTargets|FY2029</v>
      </c>
    </row>
    <row r="61" spans="1:33" x14ac:dyDescent="0.35">
      <c r="A61" t="str">
        <f t="shared" si="13"/>
        <v>C_Repurpose_Pima_ops_EchoGHub_EchoTargets|FY2030</v>
      </c>
      <c r="B61" t="str">
        <f>Scenarios!A13</f>
        <v>C_Repurpose_Pima_ops_EchoGHub_EchoTargets</v>
      </c>
      <c r="C61" t="s">
        <v>7</v>
      </c>
      <c r="D61">
        <f>IF(Scenarios!D13=1,0, L61)</f>
        <v>457</v>
      </c>
      <c r="E61">
        <f>IF(Scenarios!E13=1,0, M61)</f>
        <v>0</v>
      </c>
      <c r="F61">
        <f t="shared" si="14"/>
        <v>457</v>
      </c>
      <c r="G61" s="2">
        <f>YearMap!B6</f>
        <v>6070.502881771873</v>
      </c>
      <c r="H61" s="2">
        <f>YearMap!C6</f>
        <v>1328990.4642279092</v>
      </c>
      <c r="I61" s="2">
        <f>YearMap!D6</f>
        <v>1530666.0599667749</v>
      </c>
      <c r="J61">
        <f>1-BaselineCalc!$B$5</f>
        <v>0.99299999999999999</v>
      </c>
      <c r="K61">
        <f>Scenarios!G13</f>
        <v>0</v>
      </c>
      <c r="L61">
        <f>BaselineCalc!$B$7 + ROUND(Scenarios!M13*Scenarios!F13,0)</f>
        <v>457</v>
      </c>
      <c r="M61">
        <f>BaselineCalc!$B$8 + Scenarios!M13 - ROUND(Scenarios!M13*Scenarios!F13,0)</f>
        <v>296</v>
      </c>
      <c r="N61" s="11">
        <f t="shared" si="15"/>
        <v>296</v>
      </c>
      <c r="O61" s="11">
        <f>BaselineCalc!$B$23 * N61</f>
        <v>222</v>
      </c>
      <c r="P61">
        <f>YearMap!E6</f>
        <v>300</v>
      </c>
      <c r="Q61">
        <f>IF(Scenarios!N13="lease", YearMap!F6, YearMap!G6)</f>
        <v>0.3</v>
      </c>
      <c r="R61" s="2">
        <f>IF(Scenarios!D13=1, Q61*H61, H61)</f>
        <v>1328990.4642279092</v>
      </c>
      <c r="S61" s="2">
        <f>IF(Scenarios!E13=1, Q61*I61, I61)</f>
        <v>459199.81799003243</v>
      </c>
      <c r="T61" s="2">
        <f>IF(C61="FY2026", (Scenarios!D13+Scenarios!E13)*BaselineCalc!$B$22, 0)</f>
        <v>0</v>
      </c>
      <c r="U61" s="2">
        <f t="shared" si="16"/>
        <v>4530473.2284933729</v>
      </c>
      <c r="V61" s="2">
        <f t="shared" si="17"/>
        <v>1414251.6397533559</v>
      </c>
      <c r="W61" s="2">
        <f t="shared" si="18"/>
        <v>5944724.8682467286</v>
      </c>
      <c r="X61" s="2">
        <f t="shared" si="19"/>
        <v>8755.1176262838417</v>
      </c>
      <c r="Y61" s="2">
        <f>INDEX(YearMap!$I$2:$I$6, MATCH(C61, YearMap!$A$2:$A$6, 0))</f>
        <v>5426.2324180799997</v>
      </c>
      <c r="Z61" s="2">
        <f t="shared" si="20"/>
        <v>2260313.0563704087</v>
      </c>
      <c r="AA61" s="2">
        <f t="shared" si="21"/>
        <v>3328.885208203842</v>
      </c>
      <c r="AB61">
        <f>MAX(0, (MAX(0, $D61-BaselineCalc!$B$7) + MAX(0, $E61-BaselineCalc!$B$8)))</f>
        <v>200</v>
      </c>
      <c r="AC61">
        <f t="shared" si="22"/>
        <v>679</v>
      </c>
      <c r="AD61" s="2">
        <f t="shared" si="23"/>
        <v>3684411.8118763198</v>
      </c>
      <c r="AE61" s="2">
        <f>W61 - (1-Other_Parameters!$B$2)*$G61*$AB61*$J61*(1-$K61)</f>
        <v>5221363.744854792</v>
      </c>
      <c r="AF61" s="2">
        <f t="shared" si="24"/>
        <v>-1536951.9329784722</v>
      </c>
      <c r="AG61" t="str">
        <f t="shared" si="25"/>
        <v>C_Repurpose_Pima_ops_EchoGHub_EchoTargets|FY2030</v>
      </c>
    </row>
  </sheetData>
  <sheetProtection algorithmName="SHA-512" hashValue="kAu+b1LkqFk49brxlWPtHhUnyBRNrwXSTA7dCBc7rWg2MuJafKQvfwtpCLFbmwKIws7uy/OvrO63JjaBXWGzGA==" saltValue="YDl4nExEtYUKszyC1m4W+g==" spinCount="100000" sheet="1" objects="1" scenarios="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zoomScale="85" zoomScaleNormal="85" workbookViewId="0">
      <pane ySplit="1" topLeftCell="A2" activePane="bottomLeft" state="frozen"/>
      <selection activeCell="B2" sqref="B2"/>
      <selection pane="bottomLeft" activeCell="C27" sqref="C2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9</v>
      </c>
      <c r="B1" s="1" t="s">
        <v>10</v>
      </c>
      <c r="C1" s="1" t="s">
        <v>8</v>
      </c>
    </row>
    <row r="2" spans="1:11" x14ac:dyDescent="0.35">
      <c r="A2" t="s">
        <v>11</v>
      </c>
      <c r="B2">
        <f>Control_Center!C6</f>
        <v>2.5000000000000001E-2</v>
      </c>
      <c r="C2" t="s">
        <v>12</v>
      </c>
    </row>
    <row r="3" spans="1:11" x14ac:dyDescent="0.35">
      <c r="A3" t="s">
        <v>13</v>
      </c>
      <c r="B3">
        <f>Control_Center!C7</f>
        <v>9936</v>
      </c>
      <c r="C3" t="s">
        <v>14</v>
      </c>
    </row>
    <row r="4" spans="1:11" x14ac:dyDescent="0.35">
      <c r="A4" t="s">
        <v>15</v>
      </c>
      <c r="B4">
        <f>Control_Center!C8</f>
        <v>0.46</v>
      </c>
      <c r="C4" t="s">
        <v>16</v>
      </c>
    </row>
    <row r="5" spans="1:11" x14ac:dyDescent="0.35">
      <c r="A5" t="s">
        <v>17</v>
      </c>
      <c r="B5">
        <f>Control_Center!C10</f>
        <v>7.0000000000000001E-3</v>
      </c>
      <c r="C5" t="s">
        <v>18</v>
      </c>
    </row>
    <row r="6" spans="1:11" x14ac:dyDescent="0.35">
      <c r="A6" t="s">
        <v>19</v>
      </c>
      <c r="B6">
        <f>Control_Center!C11</f>
        <v>1.4999999999999999E-2</v>
      </c>
      <c r="C6" t="s">
        <v>20</v>
      </c>
    </row>
    <row r="7" spans="1:11" x14ac:dyDescent="0.35">
      <c r="A7" t="s">
        <v>21</v>
      </c>
      <c r="B7">
        <f>Control_Center!C12</f>
        <v>257</v>
      </c>
    </row>
    <row r="8" spans="1:11" x14ac:dyDescent="0.35">
      <c r="A8" t="s">
        <v>22</v>
      </c>
      <c r="B8">
        <f>Control_Center!C13</f>
        <v>296</v>
      </c>
    </row>
    <row r="9" spans="1:11" x14ac:dyDescent="0.35">
      <c r="A9" t="s">
        <v>23</v>
      </c>
      <c r="B9">
        <f>B7+B8</f>
        <v>553</v>
      </c>
      <c r="C9" t="s">
        <v>24</v>
      </c>
    </row>
    <row r="12" spans="1:11" x14ac:dyDescent="0.35">
      <c r="A12" s="1" t="s">
        <v>25</v>
      </c>
      <c r="B12" s="1" t="s">
        <v>26</v>
      </c>
      <c r="C12" s="1" t="s">
        <v>27</v>
      </c>
      <c r="D12" s="1" t="s">
        <v>28</v>
      </c>
      <c r="E12" s="1" t="s">
        <v>29</v>
      </c>
      <c r="F12" s="1" t="s">
        <v>30</v>
      </c>
      <c r="G12" s="1" t="s">
        <v>8</v>
      </c>
    </row>
    <row r="13" spans="1:11" x14ac:dyDescent="0.35">
      <c r="A13" t="s">
        <v>31</v>
      </c>
      <c r="B13" s="2">
        <f>B9*B3</f>
        <v>5494608</v>
      </c>
      <c r="C13" s="2">
        <f>C14/$B$4</f>
        <v>5631973.1999999993</v>
      </c>
      <c r="D13" s="2">
        <f>D14/$B$4</f>
        <v>5772772.5299999993</v>
      </c>
      <c r="E13" s="2">
        <f>E14/$B$4</f>
        <v>5917091.8432499999</v>
      </c>
      <c r="F13" s="2">
        <f>F14/$B$4</f>
        <v>6065019.1393312486</v>
      </c>
      <c r="G13" t="s">
        <v>32</v>
      </c>
      <c r="K13" t="s">
        <v>33</v>
      </c>
    </row>
    <row r="14" spans="1:11" x14ac:dyDescent="0.35">
      <c r="A14" t="s">
        <v>34</v>
      </c>
      <c r="B14" s="2">
        <f>B13*B4</f>
        <v>2527519.6800000002</v>
      </c>
      <c r="C14" s="2">
        <f t="shared" ref="C14:F15" si="0">B17</f>
        <v>2590707.6719999998</v>
      </c>
      <c r="D14" s="2">
        <f t="shared" si="0"/>
        <v>2655475.3637999999</v>
      </c>
      <c r="E14" s="2">
        <f t="shared" si="0"/>
        <v>2721862.247895</v>
      </c>
      <c r="F14" s="2">
        <f t="shared" si="0"/>
        <v>2789908.8040923746</v>
      </c>
      <c r="G14" t="s">
        <v>35</v>
      </c>
      <c r="K14" t="s">
        <v>36</v>
      </c>
    </row>
    <row r="15" spans="1:11" x14ac:dyDescent="0.35">
      <c r="A15" t="s">
        <v>37</v>
      </c>
      <c r="B15" s="2">
        <f>(B13-B14)/B9</f>
        <v>5365.44</v>
      </c>
      <c r="C15" s="2">
        <f t="shared" si="0"/>
        <v>5499.5759999999991</v>
      </c>
      <c r="D15" s="2">
        <f t="shared" si="0"/>
        <v>5637.0653999999995</v>
      </c>
      <c r="E15" s="2">
        <f t="shared" si="0"/>
        <v>5777.9920349999993</v>
      </c>
      <c r="F15" s="2">
        <f t="shared" si="0"/>
        <v>5922.4418358749981</v>
      </c>
      <c r="G15" t="s">
        <v>38</v>
      </c>
      <c r="K15" t="s">
        <v>39</v>
      </c>
    </row>
    <row r="17" spans="1:6" x14ac:dyDescent="0.35">
      <c r="A17" t="s">
        <v>40</v>
      </c>
      <c r="B17" s="2">
        <f>$B$14*(1+$B$2)^1</f>
        <v>2590707.6719999998</v>
      </c>
      <c r="C17" s="2">
        <f>$B$14*(1+$B$2)^2</f>
        <v>2655475.3637999999</v>
      </c>
      <c r="D17" s="2">
        <f>$B$14*(1+$B$2)^3</f>
        <v>2721862.247895</v>
      </c>
      <c r="E17" s="2">
        <f>$B$14*(1+$B$2)^4</f>
        <v>2789908.8040923746</v>
      </c>
      <c r="F17" s="2">
        <f>$B$14*(1+$B$2)^5</f>
        <v>2859656.5241946839</v>
      </c>
    </row>
    <row r="18" spans="1:6" x14ac:dyDescent="0.35">
      <c r="A18" t="s">
        <v>41</v>
      </c>
      <c r="B18" s="2">
        <f>$B$15*(1+$B$2)^1</f>
        <v>5499.5759999999991</v>
      </c>
      <c r="C18" s="2">
        <f>$B$15*(1+$B$2)^2</f>
        <v>5637.0653999999995</v>
      </c>
      <c r="D18" s="2">
        <f>$B$15*(1+$B$2)^3</f>
        <v>5777.9920349999993</v>
      </c>
      <c r="E18" s="2">
        <f>$B$15*(1+$B$2)^4</f>
        <v>5922.4418358749981</v>
      </c>
      <c r="F18" s="2">
        <f>$B$15*(1+$B$2)^5</f>
        <v>6070.502881771873</v>
      </c>
    </row>
    <row r="19" spans="1:6" x14ac:dyDescent="0.35">
      <c r="A19" t="s">
        <v>42</v>
      </c>
      <c r="B19" s="2">
        <f>B17*($B$7/$B$9)</f>
        <v>1203999.7679999999</v>
      </c>
      <c r="C19" s="2">
        <f>C17*($B$7/$B$9)</f>
        <v>1234099.7622</v>
      </c>
      <c r="D19" s="2">
        <f>D17*($B$7/$B$9)</f>
        <v>1264952.2562550001</v>
      </c>
      <c r="E19" s="2">
        <f>E17*($B$7/$B$9)</f>
        <v>1296576.0626613749</v>
      </c>
      <c r="F19" s="2">
        <f>F17*($B$7/$B$9)</f>
        <v>1328990.4642279092</v>
      </c>
    </row>
    <row r="20" spans="1:6" x14ac:dyDescent="0.35">
      <c r="A20" t="s">
        <v>43</v>
      </c>
      <c r="B20" s="2">
        <f>B17*($B$8/$B$9)</f>
        <v>1386707.9039999999</v>
      </c>
      <c r="C20" s="2">
        <f>C17*($B$8/$B$9)</f>
        <v>1421375.6015999999</v>
      </c>
      <c r="D20" s="2">
        <f>D17*($B$8/$B$9)</f>
        <v>1456909.9916400001</v>
      </c>
      <c r="E20" s="2">
        <f>E17*($B$8/$B$9)</f>
        <v>1493332.7414309999</v>
      </c>
      <c r="F20" s="2">
        <f>F17*($B$8/$B$9)</f>
        <v>1530666.0599667749</v>
      </c>
    </row>
    <row r="21" spans="1:6" x14ac:dyDescent="0.35">
      <c r="B21" s="2"/>
      <c r="C21" s="2"/>
      <c r="D21" s="2"/>
      <c r="E21" s="2"/>
      <c r="F21" s="2"/>
    </row>
    <row r="22" spans="1:6" x14ac:dyDescent="0.35">
      <c r="A22" t="s">
        <v>44</v>
      </c>
      <c r="B22">
        <f>Control_Center!C15</f>
        <v>1200000</v>
      </c>
    </row>
    <row r="23" spans="1:6" x14ac:dyDescent="0.35">
      <c r="A23" t="s">
        <v>45</v>
      </c>
      <c r="B23">
        <f>Control_Center!C16</f>
        <v>0.75</v>
      </c>
    </row>
    <row r="25" spans="1:6" x14ac:dyDescent="0.35">
      <c r="A25" s="1" t="s">
        <v>8</v>
      </c>
    </row>
    <row r="26" spans="1:6" x14ac:dyDescent="0.35">
      <c r="A26" s="3" t="s">
        <v>46</v>
      </c>
    </row>
    <row r="27" spans="1:6" x14ac:dyDescent="0.35">
      <c r="A27" t="s">
        <v>47</v>
      </c>
      <c r="B27">
        <f>Control_Center!C9</f>
        <v>5013</v>
      </c>
      <c r="C27" t="s">
        <v>48</v>
      </c>
    </row>
    <row r="28" spans="1:6" x14ac:dyDescent="0.35">
      <c r="A28" t="s">
        <v>49</v>
      </c>
      <c r="B28">
        <v>0.02</v>
      </c>
      <c r="C28" t="s">
        <v>50</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2</v>
      </c>
      <c r="B1" s="1" t="s">
        <v>51</v>
      </c>
      <c r="C1" s="1" t="s">
        <v>52</v>
      </c>
      <c r="D1" s="1" t="s">
        <v>53</v>
      </c>
      <c r="E1" s="1" t="s">
        <v>54</v>
      </c>
      <c r="F1" s="1" t="s">
        <v>55</v>
      </c>
      <c r="G1" s="1" t="s">
        <v>56</v>
      </c>
      <c r="H1" s="1" t="s">
        <v>57</v>
      </c>
      <c r="I1" s="1" t="s">
        <v>58</v>
      </c>
      <c r="L1" s="1" t="s">
        <v>141</v>
      </c>
      <c r="M1" s="1" t="s">
        <v>143</v>
      </c>
      <c r="N1" s="1" t="s">
        <v>142</v>
      </c>
    </row>
    <row r="2" spans="1:14" x14ac:dyDescent="0.35">
      <c r="A2" t="s">
        <v>3</v>
      </c>
      <c r="B2" s="2">
        <f>BaselineCalc!B18</f>
        <v>5499.5759999999991</v>
      </c>
      <c r="C2" s="2">
        <f>BaselineCalc!B19</f>
        <v>1203999.7679999999</v>
      </c>
      <c r="D2" s="2">
        <f>BaselineCalc!B20</f>
        <v>1386707.9039999999</v>
      </c>
      <c r="E2" s="2">
        <f>Control_Center!C22</f>
        <v>1000</v>
      </c>
      <c r="F2">
        <f>Control_Center!D22</f>
        <v>0.4</v>
      </c>
      <c r="G2">
        <f>Control_Center!E22</f>
        <v>0.5</v>
      </c>
      <c r="H2">
        <v>1</v>
      </c>
      <c r="I2" s="2">
        <f>BaselineCalc!$B$27*(1+BaselineCalc!$B$28)^(H2-1)</f>
        <v>5013</v>
      </c>
      <c r="L2" s="5">
        <v>1000</v>
      </c>
      <c r="M2" s="5">
        <v>0.4</v>
      </c>
      <c r="N2" s="5">
        <v>0.4</v>
      </c>
    </row>
    <row r="3" spans="1:14" x14ac:dyDescent="0.35">
      <c r="A3" t="s">
        <v>4</v>
      </c>
      <c r="B3" s="2">
        <f>BaselineCalc!C18</f>
        <v>5637.0653999999995</v>
      </c>
      <c r="C3" s="2">
        <f>BaselineCalc!C19</f>
        <v>1234099.7622</v>
      </c>
      <c r="D3" s="2">
        <f>BaselineCalc!C20</f>
        <v>1421375.6015999999</v>
      </c>
      <c r="E3" s="2">
        <f>Control_Center!C23</f>
        <v>800</v>
      </c>
      <c r="F3">
        <f>Control_Center!D23</f>
        <v>0.3</v>
      </c>
      <c r="G3">
        <f>Control_Center!E23</f>
        <v>0.4</v>
      </c>
      <c r="H3">
        <v>2</v>
      </c>
      <c r="I3" s="2">
        <f>BaselineCalc!$B$27*(1+BaselineCalc!$B$28)^(H3-1)</f>
        <v>5113.26</v>
      </c>
      <c r="L3" s="5">
        <v>800</v>
      </c>
      <c r="M3" s="5">
        <v>0.3</v>
      </c>
      <c r="N3" s="5">
        <v>0.35</v>
      </c>
    </row>
    <row r="4" spans="1:14" x14ac:dyDescent="0.35">
      <c r="A4" t="s">
        <v>5</v>
      </c>
      <c r="B4" s="2">
        <f>BaselineCalc!D18</f>
        <v>5777.9920349999993</v>
      </c>
      <c r="C4" s="2">
        <f>BaselineCalc!D19</f>
        <v>1264952.2562550001</v>
      </c>
      <c r="D4" s="2">
        <f>BaselineCalc!D20</f>
        <v>1456909.9916400001</v>
      </c>
      <c r="E4" s="2">
        <f>Control_Center!C24</f>
        <v>600</v>
      </c>
      <c r="F4">
        <f>Control_Center!D24</f>
        <v>0.2</v>
      </c>
      <c r="G4">
        <f>Control_Center!E24</f>
        <v>0.35</v>
      </c>
      <c r="H4">
        <v>3</v>
      </c>
      <c r="I4" s="2">
        <f>BaselineCalc!$B$27*(1+BaselineCalc!$B$28)^(H4-1)</f>
        <v>5215.5252</v>
      </c>
      <c r="L4" s="5">
        <v>600</v>
      </c>
      <c r="M4" s="5">
        <v>0.2</v>
      </c>
      <c r="N4" s="5">
        <v>0.3</v>
      </c>
    </row>
    <row r="5" spans="1:14" x14ac:dyDescent="0.35">
      <c r="A5" t="s">
        <v>6</v>
      </c>
      <c r="B5" s="2">
        <f>BaselineCalc!E18</f>
        <v>5922.4418358749981</v>
      </c>
      <c r="C5" s="2">
        <f>BaselineCalc!E19</f>
        <v>1296576.0626613749</v>
      </c>
      <c r="D5" s="2">
        <f>BaselineCalc!E20</f>
        <v>1493332.7414309999</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7</v>
      </c>
      <c r="B6" s="2">
        <f>BaselineCalc!F18</f>
        <v>6070.502881771873</v>
      </c>
      <c r="C6" s="2">
        <f>BaselineCalc!F19</f>
        <v>1328990.4642279092</v>
      </c>
      <c r="D6" s="2">
        <f>BaselineCalc!F20</f>
        <v>1530666.0599667749</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5"/>
  <sheetViews>
    <sheetView zoomScale="70" zoomScaleNormal="70" workbookViewId="0">
      <selection activeCell="B2" sqref="B2"/>
    </sheetView>
  </sheetViews>
  <sheetFormatPr defaultRowHeight="14.5" x14ac:dyDescent="0.35"/>
  <cols>
    <col min="1" max="1" width="26.1796875" bestFit="1" customWidth="1"/>
    <col min="2" max="2" width="68.453125" bestFit="1"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s>
  <sheetData>
    <row r="1" spans="1:14" x14ac:dyDescent="0.35">
      <c r="A1" s="1" t="s">
        <v>59</v>
      </c>
      <c r="B1" s="1" t="s">
        <v>86</v>
      </c>
      <c r="C1" s="1" t="s">
        <v>87</v>
      </c>
      <c r="D1" s="1" t="s">
        <v>88</v>
      </c>
      <c r="E1" s="1" t="s">
        <v>89</v>
      </c>
      <c r="F1" s="1" t="s">
        <v>90</v>
      </c>
      <c r="G1" s="1" t="s">
        <v>64</v>
      </c>
      <c r="H1" s="1" t="s">
        <v>8</v>
      </c>
      <c r="I1" t="s">
        <v>91</v>
      </c>
      <c r="J1" t="s">
        <v>92</v>
      </c>
      <c r="K1" t="s">
        <v>93</v>
      </c>
      <c r="L1" t="s">
        <v>94</v>
      </c>
      <c r="M1" t="s">
        <v>95</v>
      </c>
      <c r="N1" t="s">
        <v>96</v>
      </c>
    </row>
    <row r="2" spans="1:14" x14ac:dyDescent="0.35">
      <c r="A2" t="s">
        <v>176</v>
      </c>
      <c r="B2" t="str">
        <f>Control_Center!B31</f>
        <v>CUSTOM_KeepOpen_v1</v>
      </c>
      <c r="C2">
        <f>Control_Center!C31</f>
        <v>0</v>
      </c>
      <c r="D2">
        <f>Control_Center!D31</f>
        <v>0</v>
      </c>
      <c r="E2">
        <f>Control_Center!E31</f>
        <v>0</v>
      </c>
      <c r="F2">
        <f>Control_Center!F31</f>
        <v>0.5</v>
      </c>
      <c r="G2">
        <f>Control_Center!G31</f>
        <v>0</v>
      </c>
      <c r="H2" t="s">
        <v>98</v>
      </c>
      <c r="I2">
        <f t="shared" ref="I2:M6" si="0">$C2</f>
        <v>0</v>
      </c>
      <c r="J2">
        <f t="shared" si="0"/>
        <v>0</v>
      </c>
      <c r="K2">
        <f t="shared" si="0"/>
        <v>0</v>
      </c>
      <c r="L2">
        <f t="shared" si="0"/>
        <v>0</v>
      </c>
      <c r="M2">
        <f t="shared" si="0"/>
        <v>0</v>
      </c>
    </row>
    <row r="3" spans="1:14" x14ac:dyDescent="0.35">
      <c r="A3" t="s">
        <v>177</v>
      </c>
      <c r="B3" t="str">
        <f>Control_Center!B32</f>
        <v>Status‑Quo + Op Growth Targets</v>
      </c>
      <c r="C3">
        <f>Control_Center!C32</f>
        <v>150</v>
      </c>
      <c r="D3">
        <f>Control_Center!D32</f>
        <v>0</v>
      </c>
      <c r="E3">
        <f>Control_Center!E32</f>
        <v>0</v>
      </c>
      <c r="F3">
        <f>Control_Center!F32</f>
        <v>0.5</v>
      </c>
      <c r="G3">
        <f>Control_Center!G32</f>
        <v>0</v>
      </c>
      <c r="H3" t="s">
        <v>100</v>
      </c>
      <c r="I3">
        <f t="shared" si="0"/>
        <v>150</v>
      </c>
      <c r="J3">
        <f t="shared" si="0"/>
        <v>150</v>
      </c>
      <c r="K3">
        <f t="shared" si="0"/>
        <v>150</v>
      </c>
      <c r="L3">
        <f t="shared" si="0"/>
        <v>150</v>
      </c>
      <c r="M3">
        <f t="shared" si="0"/>
        <v>150</v>
      </c>
    </row>
    <row r="4" spans="1:14" x14ac:dyDescent="0.35">
      <c r="A4" t="s">
        <v>178</v>
      </c>
      <c r="B4" t="str">
        <f>Control_Center!B33</f>
        <v>Co‑Location @ Echo + Op Growth Targets</v>
      </c>
      <c r="C4">
        <f>Control_Center!C33</f>
        <v>150</v>
      </c>
      <c r="D4">
        <f>Control_Center!D33</f>
        <v>0</v>
      </c>
      <c r="E4">
        <f>Control_Center!E33</f>
        <v>0</v>
      </c>
      <c r="F4">
        <f>Control_Center!F33</f>
        <v>0.5</v>
      </c>
      <c r="G4">
        <f>Control_Center!G33</f>
        <v>0.05</v>
      </c>
      <c r="H4" t="s">
        <v>102</v>
      </c>
      <c r="I4">
        <f t="shared" si="0"/>
        <v>150</v>
      </c>
      <c r="J4">
        <f t="shared" si="0"/>
        <v>150</v>
      </c>
      <c r="K4">
        <f t="shared" si="0"/>
        <v>150</v>
      </c>
      <c r="L4">
        <f t="shared" si="0"/>
        <v>150</v>
      </c>
      <c r="M4">
        <f t="shared" si="0"/>
        <v>150</v>
      </c>
    </row>
    <row r="5" spans="1:14" x14ac:dyDescent="0.35">
      <c r="A5" t="s">
        <v>179</v>
      </c>
      <c r="B5" t="str">
        <f>Control_Center!B34</f>
        <v>Grow Both + Op Growth Targets</v>
      </c>
      <c r="C5">
        <f>Control_Center!C34</f>
        <v>250</v>
      </c>
      <c r="D5">
        <f>Control_Center!D34</f>
        <v>0</v>
      </c>
      <c r="E5">
        <f>Control_Center!E34</f>
        <v>0</v>
      </c>
      <c r="F5">
        <f>Control_Center!F34</f>
        <v>0.5</v>
      </c>
      <c r="G5">
        <f>Control_Center!G34</f>
        <v>0</v>
      </c>
      <c r="H5" t="s">
        <v>104</v>
      </c>
      <c r="I5">
        <f t="shared" si="0"/>
        <v>250</v>
      </c>
      <c r="J5">
        <f t="shared" si="0"/>
        <v>250</v>
      </c>
      <c r="K5">
        <f t="shared" si="0"/>
        <v>250</v>
      </c>
      <c r="L5">
        <f t="shared" si="0"/>
        <v>250</v>
      </c>
      <c r="M5">
        <f t="shared" si="0"/>
        <v>250</v>
      </c>
    </row>
    <row r="6" spans="1:14" x14ac:dyDescent="0.35">
      <c r="A6" t="s">
        <v>180</v>
      </c>
      <c r="B6" t="str">
        <f>Control_Center!B35</f>
        <v>CUSTOM_KeepOpen_v2</v>
      </c>
      <c r="C6">
        <f>Control_Center!C35</f>
        <v>0</v>
      </c>
      <c r="D6">
        <f>Control_Center!D35</f>
        <v>0</v>
      </c>
      <c r="E6">
        <f>Control_Center!E35</f>
        <v>0</v>
      </c>
      <c r="F6">
        <f>Control_Center!F35</f>
        <v>0.5</v>
      </c>
      <c r="G6">
        <f>Control_Center!G35</f>
        <v>0</v>
      </c>
      <c r="H6" t="s">
        <v>106</v>
      </c>
      <c r="I6">
        <f t="shared" si="0"/>
        <v>0</v>
      </c>
      <c r="J6">
        <f t="shared" si="0"/>
        <v>0</v>
      </c>
      <c r="K6">
        <f t="shared" si="0"/>
        <v>0</v>
      </c>
      <c r="L6">
        <f t="shared" si="0"/>
        <v>0</v>
      </c>
      <c r="M6">
        <f t="shared" si="0"/>
        <v>0</v>
      </c>
    </row>
    <row r="7" spans="1:14" x14ac:dyDescent="0.35">
      <c r="A7" t="s">
        <v>184</v>
      </c>
      <c r="B7" t="str">
        <f>Control_Center!B36</f>
        <v>Growth Hub @ Echo + Status-Quo Pima + Op Growth Targets</v>
      </c>
      <c r="C7">
        <f>Control_Center!C36</f>
        <v>150</v>
      </c>
      <c r="D7">
        <f>Control_Center!D36</f>
        <v>0</v>
      </c>
      <c r="E7">
        <f>Control_Center!E36</f>
        <v>0</v>
      </c>
      <c r="F7">
        <f>Control_Center!F36</f>
        <v>0.7</v>
      </c>
      <c r="G7">
        <f>Control_Center!G36</f>
        <v>0</v>
      </c>
      <c r="H7" t="s">
        <v>108</v>
      </c>
      <c r="I7">
        <f>C7/3</f>
        <v>50</v>
      </c>
      <c r="J7">
        <f>I7+C7/3</f>
        <v>100</v>
      </c>
      <c r="K7">
        <f>J7+C7/3</f>
        <v>150</v>
      </c>
      <c r="L7">
        <f>C7</f>
        <v>150</v>
      </c>
      <c r="M7">
        <f>C7</f>
        <v>150</v>
      </c>
    </row>
    <row r="8" spans="1:14" x14ac:dyDescent="0.35">
      <c r="A8" t="s">
        <v>109</v>
      </c>
      <c r="B8" t="str">
        <f>Control_Center!B37</f>
        <v>Repurpose BOTH (lease)</v>
      </c>
      <c r="C8">
        <f>Control_Center!C37</f>
        <v>0</v>
      </c>
      <c r="D8">
        <f>Control_Center!D37</f>
        <v>1</v>
      </c>
      <c r="E8">
        <f>Control_Center!E37</f>
        <v>1</v>
      </c>
      <c r="F8">
        <f>Control_Center!F37</f>
        <v>0.5</v>
      </c>
      <c r="G8">
        <f>Control_Center!G37</f>
        <v>0</v>
      </c>
      <c r="H8" t="s">
        <v>111</v>
      </c>
      <c r="I8">
        <f t="shared" ref="I8:M13" si="1">$C8</f>
        <v>0</v>
      </c>
      <c r="J8">
        <f t="shared" si="1"/>
        <v>0</v>
      </c>
      <c r="K8">
        <f t="shared" si="1"/>
        <v>0</v>
      </c>
      <c r="L8">
        <f t="shared" si="1"/>
        <v>0</v>
      </c>
      <c r="M8">
        <f t="shared" si="1"/>
        <v>0</v>
      </c>
      <c r="N8" t="s">
        <v>112</v>
      </c>
    </row>
    <row r="9" spans="1:14" x14ac:dyDescent="0.35">
      <c r="A9" t="s">
        <v>0</v>
      </c>
      <c r="B9" t="str">
        <f>Control_Center!B38</f>
        <v>Repurpose BOTH (ops)</v>
      </c>
      <c r="C9">
        <f>Control_Center!C38</f>
        <v>0</v>
      </c>
      <c r="D9">
        <f>Control_Center!D38</f>
        <v>1</v>
      </c>
      <c r="E9">
        <f>Control_Center!E38</f>
        <v>1</v>
      </c>
      <c r="F9">
        <f>Control_Center!F38</f>
        <v>0.5</v>
      </c>
      <c r="G9">
        <f>Control_Center!G38</f>
        <v>0</v>
      </c>
      <c r="H9" t="s">
        <v>114</v>
      </c>
      <c r="I9">
        <f t="shared" si="1"/>
        <v>0</v>
      </c>
      <c r="J9">
        <f t="shared" si="1"/>
        <v>0</v>
      </c>
      <c r="K9">
        <f t="shared" si="1"/>
        <v>0</v>
      </c>
      <c r="L9">
        <f t="shared" si="1"/>
        <v>0</v>
      </c>
      <c r="M9">
        <f t="shared" si="1"/>
        <v>0</v>
      </c>
      <c r="N9" t="s">
        <v>115</v>
      </c>
    </row>
    <row r="10" spans="1:14" x14ac:dyDescent="0.35">
      <c r="A10" t="s">
        <v>181</v>
      </c>
      <c r="B10" t="str">
        <f>Control_Center!B39</f>
        <v>Repurpose ECHO (lease) + Status-Quo Pima + Pima Op Growth Targets</v>
      </c>
      <c r="C10">
        <f>Control_Center!C39</f>
        <v>0</v>
      </c>
      <c r="D10">
        <f>Control_Center!D39</f>
        <v>1</v>
      </c>
      <c r="E10">
        <f>Control_Center!E39</f>
        <v>0</v>
      </c>
      <c r="F10">
        <f>Control_Center!F39</f>
        <v>0</v>
      </c>
      <c r="G10">
        <f>Control_Center!G39</f>
        <v>0</v>
      </c>
      <c r="H10" t="s">
        <v>117</v>
      </c>
      <c r="I10">
        <f t="shared" si="1"/>
        <v>0</v>
      </c>
      <c r="J10">
        <f t="shared" si="1"/>
        <v>0</v>
      </c>
      <c r="K10">
        <f t="shared" si="1"/>
        <v>0</v>
      </c>
      <c r="L10">
        <f t="shared" si="1"/>
        <v>0</v>
      </c>
      <c r="M10">
        <f t="shared" si="1"/>
        <v>0</v>
      </c>
      <c r="N10" t="s">
        <v>112</v>
      </c>
    </row>
    <row r="11" spans="1:14" x14ac:dyDescent="0.35">
      <c r="A11" t="s">
        <v>182</v>
      </c>
      <c r="B11" t="str">
        <f>Control_Center!B40</f>
        <v>Repurpose ECHO (ops) + Status-Quo Pima + Pima Op Growth Targets</v>
      </c>
      <c r="C11">
        <f>Control_Center!C40</f>
        <v>150</v>
      </c>
      <c r="D11">
        <f>Control_Center!D40</f>
        <v>1</v>
      </c>
      <c r="E11">
        <f>Control_Center!E40</f>
        <v>0</v>
      </c>
      <c r="F11">
        <f>Control_Center!F40</f>
        <v>0</v>
      </c>
      <c r="G11">
        <f>Control_Center!G40</f>
        <v>0</v>
      </c>
      <c r="H11" t="s">
        <v>119</v>
      </c>
      <c r="I11">
        <f t="shared" si="1"/>
        <v>150</v>
      </c>
      <c r="J11">
        <f t="shared" si="1"/>
        <v>150</v>
      </c>
      <c r="K11">
        <f t="shared" si="1"/>
        <v>150</v>
      </c>
      <c r="L11">
        <f t="shared" si="1"/>
        <v>150</v>
      </c>
      <c r="M11">
        <f t="shared" si="1"/>
        <v>150</v>
      </c>
      <c r="N11" t="s">
        <v>115</v>
      </c>
    </row>
    <row r="12" spans="1:14" x14ac:dyDescent="0.35">
      <c r="A12" t="s">
        <v>183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121</v>
      </c>
      <c r="I12">
        <f t="shared" si="1"/>
        <v>0</v>
      </c>
      <c r="J12">
        <f t="shared" si="1"/>
        <v>0</v>
      </c>
      <c r="K12">
        <f t="shared" si="1"/>
        <v>0</v>
      </c>
      <c r="L12">
        <f t="shared" si="1"/>
        <v>0</v>
      </c>
      <c r="M12">
        <f t="shared" si="1"/>
        <v>0</v>
      </c>
      <c r="N12" t="s">
        <v>112</v>
      </c>
    </row>
    <row r="13" spans="1:14" x14ac:dyDescent="0.35">
      <c r="A13" t="s">
        <v>185</v>
      </c>
      <c r="B13" t="str">
        <f>Control_Center!B42</f>
        <v>Repurpose PIMA (ops) + Growth Hub @ Echo + Echo Op Growth Targets</v>
      </c>
      <c r="C13">
        <f>Control_Center!C42</f>
        <v>200</v>
      </c>
      <c r="D13">
        <f>Control_Center!D42</f>
        <v>0</v>
      </c>
      <c r="E13">
        <f>Control_Center!E42</f>
        <v>1</v>
      </c>
      <c r="F13">
        <f>Control_Center!F42</f>
        <v>1</v>
      </c>
      <c r="G13">
        <f>Control_Center!G42</f>
        <v>0</v>
      </c>
      <c r="H13" t="s">
        <v>123</v>
      </c>
      <c r="I13">
        <f t="shared" si="1"/>
        <v>200</v>
      </c>
      <c r="J13">
        <f t="shared" si="1"/>
        <v>200</v>
      </c>
      <c r="K13">
        <f t="shared" si="1"/>
        <v>200</v>
      </c>
      <c r="L13">
        <f t="shared" si="1"/>
        <v>200</v>
      </c>
      <c r="M13">
        <f t="shared" si="1"/>
        <v>200</v>
      </c>
      <c r="N13" t="s">
        <v>115</v>
      </c>
    </row>
    <row r="15" spans="1:14" hidden="1" x14ac:dyDescent="0.35">
      <c r="A15" s="1" t="s">
        <v>59</v>
      </c>
      <c r="B15" s="1" t="s">
        <v>2</v>
      </c>
      <c r="C15" s="1" t="s">
        <v>60</v>
      </c>
      <c r="D15" s="1" t="s">
        <v>61</v>
      </c>
      <c r="E15" s="1" t="s">
        <v>62</v>
      </c>
      <c r="F15" s="1" t="s">
        <v>51</v>
      </c>
      <c r="G15" s="1" t="s">
        <v>52</v>
      </c>
      <c r="H15" s="1" t="s">
        <v>53</v>
      </c>
      <c r="I15" s="1" t="s">
        <v>77</v>
      </c>
    </row>
    <row r="16" spans="1:14" hidden="1" x14ac:dyDescent="0.35">
      <c r="A16" t="str">
        <f>A2</f>
        <v>D_CUSTOM1</v>
      </c>
      <c r="B16" t="s">
        <v>3</v>
      </c>
      <c r="C16">
        <f>IF(D2=1,0, BaselineCalc!$B$7 + ROUND(I2*F2,0))</f>
        <v>257</v>
      </c>
      <c r="D16">
        <f>IF(E2=1,0, BaselineCalc!$B$8 + I2 - ROUND(I2*F2,0))</f>
        <v>296</v>
      </c>
      <c r="E16">
        <f t="shared" ref="E16:E47" si="2">C16+D16</f>
        <v>553</v>
      </c>
      <c r="F16" s="2">
        <f>YearMap!B2</f>
        <v>5499.5759999999991</v>
      </c>
      <c r="G16" s="2">
        <f>YearMap!C2</f>
        <v>1203999.7679999999</v>
      </c>
      <c r="H16" s="2">
        <f>YearMap!D2</f>
        <v>1386707.9039999999</v>
      </c>
      <c r="I16" t="str">
        <f t="shared" ref="I16:I47" si="3">A16&amp;"|"&amp;B16</f>
        <v>D_CUSTOM1|FY2026</v>
      </c>
    </row>
    <row r="17" spans="1:9" hidden="1" x14ac:dyDescent="0.35">
      <c r="A17" t="str">
        <f>A2</f>
        <v>D_CUSTOM1</v>
      </c>
      <c r="B17" t="s">
        <v>4</v>
      </c>
      <c r="C17">
        <f>IF(D2=1,0, BaselineCalc!$B$7 + ROUND(J2*F2,0))</f>
        <v>257</v>
      </c>
      <c r="D17">
        <f>IF(E2=1,0, BaselineCalc!$B$8 + J2 - ROUND(J2*F2,0))</f>
        <v>296</v>
      </c>
      <c r="E17">
        <f t="shared" si="2"/>
        <v>553</v>
      </c>
      <c r="F17" s="2">
        <f>YearMap!B3</f>
        <v>5637.0653999999995</v>
      </c>
      <c r="G17" s="2">
        <f>YearMap!C3</f>
        <v>1234099.7622</v>
      </c>
      <c r="H17" s="2">
        <f>YearMap!D3</f>
        <v>1421375.6015999999</v>
      </c>
      <c r="I17" t="str">
        <f t="shared" si="3"/>
        <v>D_CUSTOM1|FY2027</v>
      </c>
    </row>
    <row r="18" spans="1:9" hidden="1" x14ac:dyDescent="0.35">
      <c r="A18" t="str">
        <f>A2</f>
        <v>D_CUSTOM1</v>
      </c>
      <c r="B18" t="s">
        <v>5</v>
      </c>
      <c r="C18">
        <f>IF(D2=1,0, BaselineCalc!$B$7 + ROUND(K2*F2,0))</f>
        <v>257</v>
      </c>
      <c r="D18">
        <f>IF(E2=1,0, BaselineCalc!$B$8 + K2 - ROUND(K2*F2,0))</f>
        <v>296</v>
      </c>
      <c r="E18">
        <f t="shared" si="2"/>
        <v>553</v>
      </c>
      <c r="F18" s="2">
        <f>YearMap!B4</f>
        <v>5777.9920349999993</v>
      </c>
      <c r="G18" s="2">
        <f>YearMap!C4</f>
        <v>1264952.2562550001</v>
      </c>
      <c r="H18" s="2">
        <f>YearMap!D4</f>
        <v>1456909.9916400001</v>
      </c>
      <c r="I18" t="str">
        <f t="shared" si="3"/>
        <v>D_CUSTOM1|FY2028</v>
      </c>
    </row>
    <row r="19" spans="1:9" hidden="1" x14ac:dyDescent="0.35">
      <c r="A19" t="str">
        <f>A2</f>
        <v>D_CUSTOM1</v>
      </c>
      <c r="B19" t="s">
        <v>6</v>
      </c>
      <c r="C19">
        <f>IF(D2=1,0, BaselineCalc!$B$7 + ROUND(L2*F2,0))</f>
        <v>257</v>
      </c>
      <c r="D19">
        <f>IF(E2=1,0, BaselineCalc!$B$8 + L2 - ROUND(L2*F2,0))</f>
        <v>296</v>
      </c>
      <c r="E19">
        <f t="shared" si="2"/>
        <v>553</v>
      </c>
      <c r="F19" s="2">
        <f>YearMap!B5</f>
        <v>5922.4418358749981</v>
      </c>
      <c r="G19" s="2">
        <f>YearMap!C5</f>
        <v>1296576.0626613749</v>
      </c>
      <c r="H19" s="2">
        <f>YearMap!D5</f>
        <v>1493332.7414309999</v>
      </c>
      <c r="I19" t="str">
        <f t="shared" si="3"/>
        <v>D_CUSTOM1|FY2029</v>
      </c>
    </row>
    <row r="20" spans="1:9" hidden="1" x14ac:dyDescent="0.35">
      <c r="A20" t="str">
        <f>A2</f>
        <v>D_CUSTOM1</v>
      </c>
      <c r="B20" t="s">
        <v>7</v>
      </c>
      <c r="C20">
        <f>IF(D2=1,0, BaselineCalc!$B$7 + ROUND(M2*F2,0))</f>
        <v>257</v>
      </c>
      <c r="D20">
        <f>IF(E2=1,0, BaselineCalc!$B$8 + M2 - ROUND(M2*F2,0))</f>
        <v>296</v>
      </c>
      <c r="E20">
        <f t="shared" si="2"/>
        <v>553</v>
      </c>
      <c r="F20" s="2">
        <f>YearMap!B6</f>
        <v>6070.502881771873</v>
      </c>
      <c r="G20" s="2">
        <f>YearMap!C6</f>
        <v>1328990.4642279092</v>
      </c>
      <c r="H20" s="2">
        <f>YearMap!D6</f>
        <v>1530666.0599667749</v>
      </c>
      <c r="I20" t="str">
        <f t="shared" si="3"/>
        <v>D_CUSTOM1|FY2030</v>
      </c>
    </row>
    <row r="21" spans="1:9" hidden="1" x14ac:dyDescent="0.35">
      <c r="A21" t="str">
        <f>A3</f>
        <v>E_StatusQuo_Targets</v>
      </c>
      <c r="B21" t="s">
        <v>3</v>
      </c>
      <c r="C21">
        <f>IF(D3=1,0, BaselineCalc!$B$7 + ROUND(I3*F3,0))</f>
        <v>332</v>
      </c>
      <c r="D21">
        <f>IF(E3=1,0, BaselineCalc!$B$8 + I3 - ROUND(I3*F3,0))</f>
        <v>371</v>
      </c>
      <c r="E21">
        <f t="shared" si="2"/>
        <v>703</v>
      </c>
      <c r="F21" s="2">
        <f>YearMap!B2</f>
        <v>5499.5759999999991</v>
      </c>
      <c r="G21" s="2">
        <f>YearMap!C2</f>
        <v>1203999.7679999999</v>
      </c>
      <c r="H21" s="2">
        <f>YearMap!D2</f>
        <v>1386707.9039999999</v>
      </c>
      <c r="I21" t="str">
        <f t="shared" si="3"/>
        <v>E_StatusQuo_Targets|FY2026</v>
      </c>
    </row>
    <row r="22" spans="1:9" hidden="1" x14ac:dyDescent="0.35">
      <c r="A22" t="str">
        <f>A3</f>
        <v>E_StatusQuo_Targets</v>
      </c>
      <c r="B22" t="s">
        <v>4</v>
      </c>
      <c r="C22">
        <f>IF(D3=1,0, BaselineCalc!$B$7 + ROUND(J3*F3,0))</f>
        <v>332</v>
      </c>
      <c r="D22">
        <f>IF(E3=1,0, BaselineCalc!$B$8 + J3 - ROUND(J3*F3,0))</f>
        <v>371</v>
      </c>
      <c r="E22">
        <f t="shared" si="2"/>
        <v>703</v>
      </c>
      <c r="F22" s="2">
        <f>YearMap!B3</f>
        <v>5637.0653999999995</v>
      </c>
      <c r="G22" s="2">
        <f>YearMap!C3</f>
        <v>1234099.7622</v>
      </c>
      <c r="H22" s="2">
        <f>YearMap!D3</f>
        <v>1421375.6015999999</v>
      </c>
      <c r="I22" t="str">
        <f t="shared" si="3"/>
        <v>E_StatusQuo_Targets|FY2027</v>
      </c>
    </row>
    <row r="23" spans="1:9" hidden="1" x14ac:dyDescent="0.35">
      <c r="A23" t="str">
        <f>A3</f>
        <v>E_StatusQuo_Targets</v>
      </c>
      <c r="B23" t="s">
        <v>5</v>
      </c>
      <c r="C23">
        <f>IF(D3=1,0, BaselineCalc!$B$7 + ROUND(K3*F3,0))</f>
        <v>332</v>
      </c>
      <c r="D23">
        <f>IF(E3=1,0, BaselineCalc!$B$8 + K3 - ROUND(K3*F3,0))</f>
        <v>371</v>
      </c>
      <c r="E23">
        <f t="shared" si="2"/>
        <v>703</v>
      </c>
      <c r="F23" s="2">
        <f>YearMap!B4</f>
        <v>5777.9920349999993</v>
      </c>
      <c r="G23" s="2">
        <f>YearMap!C4</f>
        <v>1264952.2562550001</v>
      </c>
      <c r="H23" s="2">
        <f>YearMap!D4</f>
        <v>1456909.9916400001</v>
      </c>
      <c r="I23" t="str">
        <f t="shared" si="3"/>
        <v>E_StatusQuo_Targets|FY2028</v>
      </c>
    </row>
    <row r="24" spans="1:9" hidden="1" x14ac:dyDescent="0.35">
      <c r="A24" t="str">
        <f>A3</f>
        <v>E_StatusQuo_Targets</v>
      </c>
      <c r="B24" t="s">
        <v>6</v>
      </c>
      <c r="C24">
        <f>IF(D3=1,0, BaselineCalc!$B$7 + ROUND(L3*F3,0))</f>
        <v>332</v>
      </c>
      <c r="D24">
        <f>IF(E3=1,0, BaselineCalc!$B$8 + L3 - ROUND(L3*F3,0))</f>
        <v>371</v>
      </c>
      <c r="E24">
        <f t="shared" si="2"/>
        <v>703</v>
      </c>
      <c r="F24" s="2">
        <f>YearMap!B5</f>
        <v>5922.4418358749981</v>
      </c>
      <c r="G24" s="2">
        <f>YearMap!C5</f>
        <v>1296576.0626613749</v>
      </c>
      <c r="H24" s="2">
        <f>YearMap!D5</f>
        <v>1493332.7414309999</v>
      </c>
      <c r="I24" t="str">
        <f t="shared" si="3"/>
        <v>E_StatusQuo_Targets|FY2029</v>
      </c>
    </row>
    <row r="25" spans="1:9" hidden="1" x14ac:dyDescent="0.35">
      <c r="A25" t="str">
        <f>A3</f>
        <v>E_StatusQuo_Targets</v>
      </c>
      <c r="B25" t="s">
        <v>7</v>
      </c>
      <c r="C25">
        <f>IF(D3=1,0, BaselineCalc!$B$7 + ROUND(M3*F3,0))</f>
        <v>332</v>
      </c>
      <c r="D25">
        <f>IF(E3=1,0, BaselineCalc!$B$8 + M3 - ROUND(M3*F3,0))</f>
        <v>371</v>
      </c>
      <c r="E25">
        <f t="shared" si="2"/>
        <v>703</v>
      </c>
      <c r="F25" s="2">
        <f>YearMap!B6</f>
        <v>6070.502881771873</v>
      </c>
      <c r="G25" s="2">
        <f>YearMap!C6</f>
        <v>1328990.4642279092</v>
      </c>
      <c r="H25" s="2">
        <f>YearMap!D6</f>
        <v>1530666.0599667749</v>
      </c>
      <c r="I25" t="str">
        <f t="shared" si="3"/>
        <v>E_StatusQuo_Targets|FY2030</v>
      </c>
    </row>
    <row r="26" spans="1:9" hidden="1" x14ac:dyDescent="0.35">
      <c r="A26" t="str">
        <f>A4</f>
        <v>F_CoLocation_Echo_Targets</v>
      </c>
      <c r="B26" t="s">
        <v>3</v>
      </c>
      <c r="C26">
        <f>IF(D4=1,0, BaselineCalc!$B$7 + ROUND(I4*F4,0))</f>
        <v>332</v>
      </c>
      <c r="D26">
        <f>IF(E4=1,0, BaselineCalc!$B$8 + I4 - ROUND(I4*F4,0))</f>
        <v>371</v>
      </c>
      <c r="E26">
        <f t="shared" si="2"/>
        <v>703</v>
      </c>
      <c r="F26" s="2">
        <f>YearMap!B2</f>
        <v>5499.5759999999991</v>
      </c>
      <c r="G26" s="2">
        <f>YearMap!C2</f>
        <v>1203999.7679999999</v>
      </c>
      <c r="H26" s="2">
        <f>YearMap!D2</f>
        <v>1386707.9039999999</v>
      </c>
      <c r="I26" t="str">
        <f t="shared" si="3"/>
        <v>F_CoLocation_Echo_Targets|FY2026</v>
      </c>
    </row>
    <row r="27" spans="1:9" hidden="1" x14ac:dyDescent="0.35">
      <c r="A27" t="str">
        <f>A4</f>
        <v>F_CoLocation_Echo_Targets</v>
      </c>
      <c r="B27" t="s">
        <v>4</v>
      </c>
      <c r="C27">
        <f>IF(D4=1,0, BaselineCalc!$B$7 + ROUND(J4*F4,0))</f>
        <v>332</v>
      </c>
      <c r="D27">
        <f>IF(E4=1,0, BaselineCalc!$B$8 + J4 - ROUND(J4*F4,0))</f>
        <v>371</v>
      </c>
      <c r="E27">
        <f t="shared" si="2"/>
        <v>703</v>
      </c>
      <c r="F27" s="2">
        <f>YearMap!B3</f>
        <v>5637.0653999999995</v>
      </c>
      <c r="G27" s="2">
        <f>YearMap!C3</f>
        <v>1234099.7622</v>
      </c>
      <c r="H27" s="2">
        <f>YearMap!D3</f>
        <v>1421375.6015999999</v>
      </c>
      <c r="I27" t="str">
        <f t="shared" si="3"/>
        <v>F_CoLocation_Echo_Targets|FY2027</v>
      </c>
    </row>
    <row r="28" spans="1:9" hidden="1" x14ac:dyDescent="0.35">
      <c r="A28" t="str">
        <f>A4</f>
        <v>F_CoLocation_Echo_Targets</v>
      </c>
      <c r="B28" t="s">
        <v>5</v>
      </c>
      <c r="C28">
        <f>IF(D4=1,0, BaselineCalc!$B$7 + ROUND(K4*F4,0))</f>
        <v>332</v>
      </c>
      <c r="D28">
        <f>IF(E4=1,0, BaselineCalc!$B$8 + K4 - ROUND(K4*F4,0))</f>
        <v>371</v>
      </c>
      <c r="E28">
        <f t="shared" si="2"/>
        <v>703</v>
      </c>
      <c r="F28" s="2">
        <f>YearMap!B4</f>
        <v>5777.9920349999993</v>
      </c>
      <c r="G28" s="2">
        <f>YearMap!C4</f>
        <v>1264952.2562550001</v>
      </c>
      <c r="H28" s="2">
        <f>YearMap!D4</f>
        <v>1456909.9916400001</v>
      </c>
      <c r="I28" t="str">
        <f t="shared" si="3"/>
        <v>F_CoLocation_Echo_Targets|FY2028</v>
      </c>
    </row>
    <row r="29" spans="1:9" hidden="1" x14ac:dyDescent="0.35">
      <c r="A29" t="str">
        <f>A4</f>
        <v>F_CoLocation_Echo_Targets</v>
      </c>
      <c r="B29" t="s">
        <v>6</v>
      </c>
      <c r="C29">
        <f>IF(D4=1,0, BaselineCalc!$B$7 + ROUND(L4*F4,0))</f>
        <v>332</v>
      </c>
      <c r="D29">
        <f>IF(E4=1,0, BaselineCalc!$B$8 + L4 - ROUND(L4*F4,0))</f>
        <v>371</v>
      </c>
      <c r="E29">
        <f t="shared" si="2"/>
        <v>703</v>
      </c>
      <c r="F29" s="2">
        <f>YearMap!B5</f>
        <v>5922.4418358749981</v>
      </c>
      <c r="G29" s="2">
        <f>YearMap!C5</f>
        <v>1296576.0626613749</v>
      </c>
      <c r="H29" s="2">
        <f>YearMap!D5</f>
        <v>1493332.7414309999</v>
      </c>
      <c r="I29" t="str">
        <f t="shared" si="3"/>
        <v>F_CoLocation_Echo_Targets|FY2029</v>
      </c>
    </row>
    <row r="30" spans="1:9" hidden="1" x14ac:dyDescent="0.35">
      <c r="A30" t="str">
        <f>A4</f>
        <v>F_CoLocation_Echo_Targets</v>
      </c>
      <c r="B30" t="s">
        <v>7</v>
      </c>
      <c r="C30">
        <f>IF(D4=1,0, BaselineCalc!$B$7 + ROUND(M4*F4,0))</f>
        <v>332</v>
      </c>
      <c r="D30">
        <f>IF(E4=1,0, BaselineCalc!$B$8 + M4 - ROUND(M4*F4,0))</f>
        <v>371</v>
      </c>
      <c r="E30">
        <f t="shared" si="2"/>
        <v>703</v>
      </c>
      <c r="F30" s="2">
        <f>YearMap!B6</f>
        <v>6070.502881771873</v>
      </c>
      <c r="G30" s="2">
        <f>YearMap!C6</f>
        <v>1328990.4642279092</v>
      </c>
      <c r="H30" s="2">
        <f>YearMap!D6</f>
        <v>1530666.0599667749</v>
      </c>
      <c r="I30" t="str">
        <f t="shared" si="3"/>
        <v>F_CoLocation_Echo_Targets|FY2030</v>
      </c>
    </row>
    <row r="31" spans="1:9" hidden="1" x14ac:dyDescent="0.35">
      <c r="A31" t="str">
        <f>A5</f>
        <v>D_Grow_Both_Targets</v>
      </c>
      <c r="B31" t="s">
        <v>3</v>
      </c>
      <c r="C31">
        <f>IF(D5=1,0, BaselineCalc!$B$7 + ROUND(I5*F5,0))</f>
        <v>382</v>
      </c>
      <c r="D31">
        <f>IF(E5=1,0, BaselineCalc!$B$8 + I5 - ROUND(I5*F5,0))</f>
        <v>421</v>
      </c>
      <c r="E31">
        <f t="shared" si="2"/>
        <v>803</v>
      </c>
      <c r="F31" s="2">
        <f>YearMap!B2</f>
        <v>5499.5759999999991</v>
      </c>
      <c r="G31" s="2">
        <f>YearMap!C2</f>
        <v>1203999.7679999999</v>
      </c>
      <c r="H31" s="2">
        <f>YearMap!D2</f>
        <v>1386707.9039999999</v>
      </c>
      <c r="I31" t="str">
        <f t="shared" si="3"/>
        <v>D_Grow_Both_Targets|FY2026</v>
      </c>
    </row>
    <row r="32" spans="1:9" hidden="1" x14ac:dyDescent="0.35">
      <c r="A32" t="str">
        <f>A5</f>
        <v>D_Grow_Both_Targets</v>
      </c>
      <c r="B32" t="s">
        <v>4</v>
      </c>
      <c r="C32">
        <f>IF(D5=1,0, BaselineCalc!$B$7 + ROUND(J5*F5,0))</f>
        <v>382</v>
      </c>
      <c r="D32">
        <f>IF(E5=1,0, BaselineCalc!$B$8 + J5 - ROUND(J5*F5,0))</f>
        <v>421</v>
      </c>
      <c r="E32">
        <f t="shared" si="2"/>
        <v>803</v>
      </c>
      <c r="F32" s="2">
        <f>YearMap!B3</f>
        <v>5637.0653999999995</v>
      </c>
      <c r="G32" s="2">
        <f>YearMap!C3</f>
        <v>1234099.7622</v>
      </c>
      <c r="H32" s="2">
        <f>YearMap!D3</f>
        <v>1421375.6015999999</v>
      </c>
      <c r="I32" t="str">
        <f t="shared" si="3"/>
        <v>D_Grow_Both_Targets|FY2027</v>
      </c>
    </row>
    <row r="33" spans="1:9" hidden="1" x14ac:dyDescent="0.35">
      <c r="A33" t="str">
        <f>A5</f>
        <v>D_Grow_Both_Targets</v>
      </c>
      <c r="B33" t="s">
        <v>5</v>
      </c>
      <c r="C33">
        <f>IF(D5=1,0, BaselineCalc!$B$7 + ROUND(K5*F5,0))</f>
        <v>382</v>
      </c>
      <c r="D33">
        <f>IF(E5=1,0, BaselineCalc!$B$8 + K5 - ROUND(K5*F5,0))</f>
        <v>421</v>
      </c>
      <c r="E33">
        <f t="shared" si="2"/>
        <v>803</v>
      </c>
      <c r="F33" s="2">
        <f>YearMap!B4</f>
        <v>5777.9920349999993</v>
      </c>
      <c r="G33" s="2">
        <f>YearMap!C4</f>
        <v>1264952.2562550001</v>
      </c>
      <c r="H33" s="2">
        <f>YearMap!D4</f>
        <v>1456909.9916400001</v>
      </c>
      <c r="I33" t="str">
        <f t="shared" si="3"/>
        <v>D_Grow_Both_Targets|FY2028</v>
      </c>
    </row>
    <row r="34" spans="1:9" hidden="1" x14ac:dyDescent="0.35">
      <c r="A34" t="str">
        <f>A5</f>
        <v>D_Grow_Both_Targets</v>
      </c>
      <c r="B34" t="s">
        <v>6</v>
      </c>
      <c r="C34">
        <f>IF(D5=1,0, BaselineCalc!$B$7 + ROUND(L5*F5,0))</f>
        <v>382</v>
      </c>
      <c r="D34">
        <f>IF(E5=1,0, BaselineCalc!$B$8 + L5 - ROUND(L5*F5,0))</f>
        <v>421</v>
      </c>
      <c r="E34">
        <f t="shared" si="2"/>
        <v>803</v>
      </c>
      <c r="F34" s="2">
        <f>YearMap!B5</f>
        <v>5922.4418358749981</v>
      </c>
      <c r="G34" s="2">
        <f>YearMap!C5</f>
        <v>1296576.0626613749</v>
      </c>
      <c r="H34" s="2">
        <f>YearMap!D5</f>
        <v>1493332.7414309999</v>
      </c>
      <c r="I34" t="str">
        <f t="shared" si="3"/>
        <v>D_Grow_Both_Targets|FY2029</v>
      </c>
    </row>
    <row r="35" spans="1:9" hidden="1" x14ac:dyDescent="0.35">
      <c r="A35" t="str">
        <f>A5</f>
        <v>D_Grow_Both_Targets</v>
      </c>
      <c r="B35" t="s">
        <v>7</v>
      </c>
      <c r="C35">
        <f>IF(D5=1,0, BaselineCalc!$B$7 + ROUND(M5*F5,0))</f>
        <v>382</v>
      </c>
      <c r="D35">
        <f>IF(E5=1,0, BaselineCalc!$B$8 + M5 - ROUND(M5*F5,0))</f>
        <v>421</v>
      </c>
      <c r="E35">
        <f t="shared" si="2"/>
        <v>803</v>
      </c>
      <c r="F35" s="2">
        <f>YearMap!B6</f>
        <v>6070.502881771873</v>
      </c>
      <c r="G35" s="2">
        <f>YearMap!C6</f>
        <v>1328990.4642279092</v>
      </c>
      <c r="H35" s="2">
        <f>YearMap!D6</f>
        <v>1530666.0599667749</v>
      </c>
      <c r="I35" t="str">
        <f t="shared" si="3"/>
        <v>D_Grow_Both_Targets|FY2030</v>
      </c>
    </row>
    <row r="36" spans="1:9" hidden="1" x14ac:dyDescent="0.35">
      <c r="A36" t="str">
        <f>A6</f>
        <v>D_CUSTOM2</v>
      </c>
      <c r="B36" t="s">
        <v>3</v>
      </c>
      <c r="C36">
        <f>IF(D6=1,0, BaselineCalc!$B$7 + ROUND(I6*F6,0))</f>
        <v>257</v>
      </c>
      <c r="D36">
        <f>IF(E6=1,0, BaselineCalc!$B$8 + I6 - ROUND(I6*F6,0))</f>
        <v>296</v>
      </c>
      <c r="E36">
        <f t="shared" si="2"/>
        <v>553</v>
      </c>
      <c r="F36" s="2">
        <f>YearMap!B2</f>
        <v>5499.5759999999991</v>
      </c>
      <c r="G36" s="2">
        <f>YearMap!C2</f>
        <v>1203999.7679999999</v>
      </c>
      <c r="H36" s="2">
        <f>YearMap!D2</f>
        <v>1386707.9039999999</v>
      </c>
      <c r="I36" t="str">
        <f t="shared" si="3"/>
        <v>D_CUSTOM2|FY2026</v>
      </c>
    </row>
    <row r="37" spans="1:9" hidden="1" x14ac:dyDescent="0.35">
      <c r="A37" t="str">
        <f>A6</f>
        <v>D_CUSTOM2</v>
      </c>
      <c r="B37" t="s">
        <v>4</v>
      </c>
      <c r="C37">
        <f>IF(D6=1,0, BaselineCalc!$B$7 + ROUND(J6*F6,0))</f>
        <v>257</v>
      </c>
      <c r="D37">
        <f>IF(E6=1,0, BaselineCalc!$B$8 + J6 - ROUND(J6*F6,0))</f>
        <v>296</v>
      </c>
      <c r="E37">
        <f t="shared" si="2"/>
        <v>553</v>
      </c>
      <c r="F37" s="2">
        <f>YearMap!B3</f>
        <v>5637.0653999999995</v>
      </c>
      <c r="G37" s="2">
        <f>YearMap!C3</f>
        <v>1234099.7622</v>
      </c>
      <c r="H37" s="2">
        <f>YearMap!D3</f>
        <v>1421375.6015999999</v>
      </c>
      <c r="I37" t="str">
        <f t="shared" si="3"/>
        <v>D_CUSTOM2|FY2027</v>
      </c>
    </row>
    <row r="38" spans="1:9" hidden="1" x14ac:dyDescent="0.35">
      <c r="A38" t="str">
        <f>A6</f>
        <v>D_CUSTOM2</v>
      </c>
      <c r="B38" t="s">
        <v>5</v>
      </c>
      <c r="C38">
        <f>IF(D6=1,0, BaselineCalc!$B$7 + ROUND(K6*F6,0))</f>
        <v>257</v>
      </c>
      <c r="D38">
        <f>IF(E6=1,0, BaselineCalc!$B$8 + K6 - ROUND(K6*F6,0))</f>
        <v>296</v>
      </c>
      <c r="E38">
        <f t="shared" si="2"/>
        <v>553</v>
      </c>
      <c r="F38" s="2">
        <f>YearMap!B4</f>
        <v>5777.9920349999993</v>
      </c>
      <c r="G38" s="2">
        <f>YearMap!C4</f>
        <v>1264952.2562550001</v>
      </c>
      <c r="H38" s="2">
        <f>YearMap!D4</f>
        <v>1456909.9916400001</v>
      </c>
      <c r="I38" t="str">
        <f t="shared" si="3"/>
        <v>D_CUSTOM2|FY2028</v>
      </c>
    </row>
    <row r="39" spans="1:9" hidden="1" x14ac:dyDescent="0.35">
      <c r="A39" t="str">
        <f>A6</f>
        <v>D_CUSTOM2</v>
      </c>
      <c r="B39" t="s">
        <v>6</v>
      </c>
      <c r="C39">
        <f>IF(D6=1,0, BaselineCalc!$B$7 + ROUND(L6*F6,0))</f>
        <v>257</v>
      </c>
      <c r="D39">
        <f>IF(E6=1,0, BaselineCalc!$B$8 + L6 - ROUND(L6*F6,0))</f>
        <v>296</v>
      </c>
      <c r="E39">
        <f t="shared" si="2"/>
        <v>553</v>
      </c>
      <c r="F39" s="2">
        <f>YearMap!B5</f>
        <v>5922.4418358749981</v>
      </c>
      <c r="G39" s="2">
        <f>YearMap!C5</f>
        <v>1296576.0626613749</v>
      </c>
      <c r="H39" s="2">
        <f>YearMap!D5</f>
        <v>1493332.7414309999</v>
      </c>
      <c r="I39" t="str">
        <f t="shared" si="3"/>
        <v>D_CUSTOM2|FY2029</v>
      </c>
    </row>
    <row r="40" spans="1:9" hidden="1" x14ac:dyDescent="0.35">
      <c r="A40" t="str">
        <f>A6</f>
        <v>D_CUSTOM2</v>
      </c>
      <c r="B40" t="s">
        <v>7</v>
      </c>
      <c r="C40">
        <f>IF(D6=1,0, BaselineCalc!$B$7 + ROUND(M6*F6,0))</f>
        <v>257</v>
      </c>
      <c r="D40">
        <f>IF(E6=1,0, BaselineCalc!$B$8 + M6 - ROUND(M6*F6,0))</f>
        <v>296</v>
      </c>
      <c r="E40">
        <f t="shared" si="2"/>
        <v>553</v>
      </c>
      <c r="F40" s="2">
        <f>YearMap!B6</f>
        <v>6070.502881771873</v>
      </c>
      <c r="G40" s="2">
        <f>YearMap!C6</f>
        <v>1328990.4642279092</v>
      </c>
      <c r="H40" s="2">
        <f>YearMap!D6</f>
        <v>1530666.0599667749</v>
      </c>
      <c r="I40" t="str">
        <f t="shared" si="3"/>
        <v>D_CUSTOM2|FY2030</v>
      </c>
    </row>
    <row r="41" spans="1:9" hidden="1" x14ac:dyDescent="0.35">
      <c r="A41" t="str">
        <f>A7</f>
        <v>G_EchoGHubRamp_PimaTargets</v>
      </c>
      <c r="B41" t="s">
        <v>3</v>
      </c>
      <c r="C41">
        <f>IF(D7=1,0, BaselineCalc!$B$7 + ROUND(I7*F7,0))</f>
        <v>292</v>
      </c>
      <c r="D41">
        <f>IF(E7=1,0, BaselineCalc!$B$8 + I7 - ROUND(I7*F7,0))</f>
        <v>311</v>
      </c>
      <c r="E41">
        <f t="shared" si="2"/>
        <v>603</v>
      </c>
      <c r="F41" s="2">
        <f>YearMap!B2</f>
        <v>5499.5759999999991</v>
      </c>
      <c r="G41" s="2">
        <f>YearMap!C2</f>
        <v>1203999.7679999999</v>
      </c>
      <c r="H41" s="2">
        <f>YearMap!D2</f>
        <v>1386707.9039999999</v>
      </c>
      <c r="I41" t="str">
        <f t="shared" si="3"/>
        <v>G_EchoGHubRamp_PimaTargets|FY2026</v>
      </c>
    </row>
    <row r="42" spans="1:9" hidden="1" x14ac:dyDescent="0.35">
      <c r="A42" t="str">
        <f>A7</f>
        <v>G_EchoGHubRamp_PimaTargets</v>
      </c>
      <c r="B42" t="s">
        <v>4</v>
      </c>
      <c r="C42">
        <f>IF(D7=1,0, BaselineCalc!$B$7 + ROUND(J7*F7,0))</f>
        <v>327</v>
      </c>
      <c r="D42">
        <f>IF(E7=1,0, BaselineCalc!$B$8 + J7 - ROUND(J7*F7,0))</f>
        <v>326</v>
      </c>
      <c r="E42">
        <f t="shared" si="2"/>
        <v>653</v>
      </c>
      <c r="F42" s="2">
        <f>YearMap!B3</f>
        <v>5637.0653999999995</v>
      </c>
      <c r="G42" s="2">
        <f>YearMap!C3</f>
        <v>1234099.7622</v>
      </c>
      <c r="H42" s="2">
        <f>YearMap!D3</f>
        <v>1421375.6015999999</v>
      </c>
      <c r="I42" t="str">
        <f t="shared" si="3"/>
        <v>G_EchoGHubRamp_PimaTargets|FY2027</v>
      </c>
    </row>
    <row r="43" spans="1:9" hidden="1" x14ac:dyDescent="0.35">
      <c r="A43" t="str">
        <f>A7</f>
        <v>G_EchoGHubRamp_PimaTargets</v>
      </c>
      <c r="B43" t="s">
        <v>5</v>
      </c>
      <c r="C43">
        <f>IF(D7=1,0, BaselineCalc!$B$7 + ROUND(K7*F7,0))</f>
        <v>362</v>
      </c>
      <c r="D43">
        <f>IF(E7=1,0, BaselineCalc!$B$8 + K7 - ROUND(K7*F7,0))</f>
        <v>341</v>
      </c>
      <c r="E43">
        <f t="shared" si="2"/>
        <v>703</v>
      </c>
      <c r="F43" s="2">
        <f>YearMap!B4</f>
        <v>5777.9920349999993</v>
      </c>
      <c r="G43" s="2">
        <f>YearMap!C4</f>
        <v>1264952.2562550001</v>
      </c>
      <c r="H43" s="2">
        <f>YearMap!D4</f>
        <v>1456909.9916400001</v>
      </c>
      <c r="I43" t="str">
        <f t="shared" si="3"/>
        <v>G_EchoGHubRamp_PimaTargets|FY2028</v>
      </c>
    </row>
    <row r="44" spans="1:9" hidden="1" x14ac:dyDescent="0.35">
      <c r="A44" t="str">
        <f>A7</f>
        <v>G_EchoGHubRamp_PimaTargets</v>
      </c>
      <c r="B44" t="s">
        <v>6</v>
      </c>
      <c r="C44">
        <f>IF(D7=1,0, BaselineCalc!$B$7 + ROUND(L7*F7,0))</f>
        <v>362</v>
      </c>
      <c r="D44">
        <f>IF(E7=1,0, BaselineCalc!$B$8 + L7 - ROUND(L7*F7,0))</f>
        <v>341</v>
      </c>
      <c r="E44">
        <f t="shared" si="2"/>
        <v>703</v>
      </c>
      <c r="F44" s="2">
        <f>YearMap!B5</f>
        <v>5922.4418358749981</v>
      </c>
      <c r="G44" s="2">
        <f>YearMap!C5</f>
        <v>1296576.0626613749</v>
      </c>
      <c r="H44" s="2">
        <f>YearMap!D5</f>
        <v>1493332.7414309999</v>
      </c>
      <c r="I44" t="str">
        <f t="shared" si="3"/>
        <v>G_EchoGHubRamp_PimaTargets|FY2029</v>
      </c>
    </row>
    <row r="45" spans="1:9" hidden="1" x14ac:dyDescent="0.35">
      <c r="A45" t="str">
        <f>A7</f>
        <v>G_EchoGHubRamp_PimaTargets</v>
      </c>
      <c r="B45" t="s">
        <v>7</v>
      </c>
      <c r="C45">
        <f>IF(D7=1,0, BaselineCalc!$B$7 + ROUND(M7*F7,0))</f>
        <v>362</v>
      </c>
      <c r="D45">
        <f>IF(E7=1,0, BaselineCalc!$B$8 + M7 - ROUND(M7*F7,0))</f>
        <v>341</v>
      </c>
      <c r="E45">
        <f t="shared" si="2"/>
        <v>703</v>
      </c>
      <c r="F45" s="2">
        <f>YearMap!B6</f>
        <v>6070.502881771873</v>
      </c>
      <c r="G45" s="2">
        <f>YearMap!C6</f>
        <v>1328990.4642279092</v>
      </c>
      <c r="H45" s="2">
        <f>YearMap!D6</f>
        <v>1530666.0599667749</v>
      </c>
      <c r="I45" t="str">
        <f t="shared" si="3"/>
        <v>G_EchoGHubRamp_PimaTargets|FY2030</v>
      </c>
    </row>
    <row r="46" spans="1:9" hidden="1" x14ac:dyDescent="0.35">
      <c r="A46" t="str">
        <f>A8</f>
        <v>A_Repurpose_Both_lease</v>
      </c>
      <c r="B46" t="s">
        <v>3</v>
      </c>
      <c r="C46">
        <f>IF(D8=1,0, BaselineCalc!$B$7 + ROUND(I8*F8,0))</f>
        <v>0</v>
      </c>
      <c r="D46">
        <f>IF(E8=1,0, BaselineCalc!$B$8 + I8 - ROUND(I8*F8,0))</f>
        <v>0</v>
      </c>
      <c r="E46">
        <f t="shared" si="2"/>
        <v>0</v>
      </c>
      <c r="F46" s="2">
        <f>YearMap!B2</f>
        <v>5499.5759999999991</v>
      </c>
      <c r="G46" s="2">
        <f>YearMap!C2</f>
        <v>1203999.7679999999</v>
      </c>
      <c r="H46" s="2">
        <f>YearMap!D2</f>
        <v>1386707.9039999999</v>
      </c>
      <c r="I46" t="str">
        <f t="shared" si="3"/>
        <v>A_Repurpose_Both_lease|FY2026</v>
      </c>
    </row>
    <row r="47" spans="1:9" hidden="1" x14ac:dyDescent="0.35">
      <c r="A47" t="str">
        <f>A8</f>
        <v>A_Repurpose_Both_lease</v>
      </c>
      <c r="B47" t="s">
        <v>4</v>
      </c>
      <c r="C47">
        <f>IF(D8=1,0, BaselineCalc!$B$7 + ROUND(J8*F8,0))</f>
        <v>0</v>
      </c>
      <c r="D47">
        <f>IF(E8=1,0, BaselineCalc!$B$8 + J8 - ROUND(J8*F8,0))</f>
        <v>0</v>
      </c>
      <c r="E47">
        <f t="shared" si="2"/>
        <v>0</v>
      </c>
      <c r="F47" s="2">
        <f>YearMap!B3</f>
        <v>5637.0653999999995</v>
      </c>
      <c r="G47" s="2">
        <f>YearMap!C3</f>
        <v>1234099.7622</v>
      </c>
      <c r="H47" s="2">
        <f>YearMap!D3</f>
        <v>1421375.6015999999</v>
      </c>
      <c r="I47" t="str">
        <f t="shared" si="3"/>
        <v>A_Repurpose_Both_lease|FY2027</v>
      </c>
    </row>
    <row r="48" spans="1:9" hidden="1" x14ac:dyDescent="0.35">
      <c r="A48" t="str">
        <f>A8</f>
        <v>A_Repurpose_Both_lease</v>
      </c>
      <c r="B48" t="s">
        <v>5</v>
      </c>
      <c r="C48">
        <f>IF(D8=1,0, BaselineCalc!$B$7 + ROUND(K8*F8,0))</f>
        <v>0</v>
      </c>
      <c r="D48">
        <f>IF(E8=1,0, BaselineCalc!$B$8 + K8 - ROUND(K8*F8,0))</f>
        <v>0</v>
      </c>
      <c r="E48">
        <f t="shared" ref="E48:E75" si="4">C48+D48</f>
        <v>0</v>
      </c>
      <c r="F48" s="2">
        <f>YearMap!B4</f>
        <v>5777.9920349999993</v>
      </c>
      <c r="G48" s="2">
        <f>YearMap!C4</f>
        <v>1264952.2562550001</v>
      </c>
      <c r="H48" s="2">
        <f>YearMap!D4</f>
        <v>1456909.9916400001</v>
      </c>
      <c r="I48" t="str">
        <f t="shared" ref="I48:I75" si="5">A48&amp;"|"&amp;B48</f>
        <v>A_Repurpose_Both_lease|FY2028</v>
      </c>
    </row>
    <row r="49" spans="1:9" hidden="1" x14ac:dyDescent="0.35">
      <c r="A49" t="str">
        <f>A8</f>
        <v>A_Repurpose_Both_lease</v>
      </c>
      <c r="B49" t="s">
        <v>6</v>
      </c>
      <c r="C49">
        <f>IF(D8=1,0, BaselineCalc!$B$7 + ROUND(L8*F8,0))</f>
        <v>0</v>
      </c>
      <c r="D49">
        <f>IF(E8=1,0, BaselineCalc!$B$8 + L8 - ROUND(L8*F8,0))</f>
        <v>0</v>
      </c>
      <c r="E49">
        <f t="shared" si="4"/>
        <v>0</v>
      </c>
      <c r="F49" s="2">
        <f>YearMap!B5</f>
        <v>5922.4418358749981</v>
      </c>
      <c r="G49" s="2">
        <f>YearMap!C5</f>
        <v>1296576.0626613749</v>
      </c>
      <c r="H49" s="2">
        <f>YearMap!D5</f>
        <v>1493332.7414309999</v>
      </c>
      <c r="I49" t="str">
        <f t="shared" si="5"/>
        <v>A_Repurpose_Both_lease|FY2029</v>
      </c>
    </row>
    <row r="50" spans="1:9" hidden="1" x14ac:dyDescent="0.35">
      <c r="A50" t="str">
        <f>A8</f>
        <v>A_Repurpose_Both_lease</v>
      </c>
      <c r="B50" t="s">
        <v>7</v>
      </c>
      <c r="C50">
        <f>IF(D8=1,0, BaselineCalc!$B$7 + ROUND(M8*F8,0))</f>
        <v>0</v>
      </c>
      <c r="D50">
        <f>IF(E8=1,0, BaselineCalc!$B$8 + M8 - ROUND(M8*F8,0))</f>
        <v>0</v>
      </c>
      <c r="E50">
        <f t="shared" si="4"/>
        <v>0</v>
      </c>
      <c r="F50" s="2">
        <f>YearMap!B6</f>
        <v>6070.502881771873</v>
      </c>
      <c r="G50" s="2">
        <f>YearMap!C6</f>
        <v>1328990.4642279092</v>
      </c>
      <c r="H50" s="2">
        <f>YearMap!D6</f>
        <v>1530666.0599667749</v>
      </c>
      <c r="I50" t="str">
        <f t="shared" si="5"/>
        <v>A_Repurpose_Both_lease|FY2030</v>
      </c>
    </row>
    <row r="51" spans="1:9" hidden="1" x14ac:dyDescent="0.35">
      <c r="A51" t="str">
        <f>A9</f>
        <v>A_Repurpose_Both_ops</v>
      </c>
      <c r="B51" t="s">
        <v>3</v>
      </c>
      <c r="C51">
        <f>IF(D9=1,0, BaselineCalc!$B$7 + ROUND(I9*F9,0))</f>
        <v>0</v>
      </c>
      <c r="D51">
        <f>IF(E9=1,0, BaselineCalc!$B$8 + I9 - ROUND(I9*F9,0))</f>
        <v>0</v>
      </c>
      <c r="E51">
        <f t="shared" si="4"/>
        <v>0</v>
      </c>
      <c r="F51" s="2">
        <f>YearMap!B2</f>
        <v>5499.5759999999991</v>
      </c>
      <c r="G51" s="2">
        <f>YearMap!C2</f>
        <v>1203999.7679999999</v>
      </c>
      <c r="H51" s="2">
        <f>YearMap!D2</f>
        <v>1386707.9039999999</v>
      </c>
      <c r="I51" t="str">
        <f t="shared" si="5"/>
        <v>A_Repurpose_Both_ops|FY2026</v>
      </c>
    </row>
    <row r="52" spans="1:9" hidden="1" x14ac:dyDescent="0.35">
      <c r="A52" t="str">
        <f>A9</f>
        <v>A_Repurpose_Both_ops</v>
      </c>
      <c r="B52" t="s">
        <v>4</v>
      </c>
      <c r="C52">
        <f>IF(D9=1,0, BaselineCalc!$B$7 + ROUND(J9*F9,0))</f>
        <v>0</v>
      </c>
      <c r="D52">
        <f>IF(E9=1,0, BaselineCalc!$B$8 + J9 - ROUND(J9*F9,0))</f>
        <v>0</v>
      </c>
      <c r="E52">
        <f t="shared" si="4"/>
        <v>0</v>
      </c>
      <c r="F52" s="2">
        <f>YearMap!B3</f>
        <v>5637.0653999999995</v>
      </c>
      <c r="G52" s="2">
        <f>YearMap!C3</f>
        <v>1234099.7622</v>
      </c>
      <c r="H52" s="2">
        <f>YearMap!D3</f>
        <v>1421375.6015999999</v>
      </c>
      <c r="I52" t="str">
        <f t="shared" si="5"/>
        <v>A_Repurpose_Both_ops|FY2027</v>
      </c>
    </row>
    <row r="53" spans="1:9" hidden="1" x14ac:dyDescent="0.35">
      <c r="A53" t="str">
        <f>A9</f>
        <v>A_Repurpose_Both_ops</v>
      </c>
      <c r="B53" t="s">
        <v>5</v>
      </c>
      <c r="C53">
        <f>IF(D9=1,0, BaselineCalc!$B$7 + ROUND(K9*F9,0))</f>
        <v>0</v>
      </c>
      <c r="D53">
        <f>IF(E9=1,0, BaselineCalc!$B$8 + K9 - ROUND(K9*F9,0))</f>
        <v>0</v>
      </c>
      <c r="E53">
        <f t="shared" si="4"/>
        <v>0</v>
      </c>
      <c r="F53" s="2">
        <f>YearMap!B4</f>
        <v>5777.9920349999993</v>
      </c>
      <c r="G53" s="2">
        <f>YearMap!C4</f>
        <v>1264952.2562550001</v>
      </c>
      <c r="H53" s="2">
        <f>YearMap!D4</f>
        <v>1456909.9916400001</v>
      </c>
      <c r="I53" t="str">
        <f t="shared" si="5"/>
        <v>A_Repurpose_Both_ops|FY2028</v>
      </c>
    </row>
    <row r="54" spans="1:9" hidden="1" x14ac:dyDescent="0.35">
      <c r="A54" t="str">
        <f>A9</f>
        <v>A_Repurpose_Both_ops</v>
      </c>
      <c r="B54" t="s">
        <v>6</v>
      </c>
      <c r="C54">
        <f>IF(D9=1,0, BaselineCalc!$B$7 + ROUND(L9*F9,0))</f>
        <v>0</v>
      </c>
      <c r="D54">
        <f>IF(E9=1,0, BaselineCalc!$B$8 + L9 - ROUND(L9*F9,0))</f>
        <v>0</v>
      </c>
      <c r="E54">
        <f t="shared" si="4"/>
        <v>0</v>
      </c>
      <c r="F54" s="2">
        <f>YearMap!B5</f>
        <v>5922.4418358749981</v>
      </c>
      <c r="G54" s="2">
        <f>YearMap!C5</f>
        <v>1296576.0626613749</v>
      </c>
      <c r="H54" s="2">
        <f>YearMap!D5</f>
        <v>1493332.7414309999</v>
      </c>
      <c r="I54" t="str">
        <f t="shared" si="5"/>
        <v>A_Repurpose_Both_ops|FY2029</v>
      </c>
    </row>
    <row r="55" spans="1:9" hidden="1" x14ac:dyDescent="0.35">
      <c r="A55" t="str">
        <f>A9</f>
        <v>A_Repurpose_Both_ops</v>
      </c>
      <c r="B55" t="s">
        <v>7</v>
      </c>
      <c r="C55">
        <f>IF(D9=1,0, BaselineCalc!$B$7 + ROUND(M9*F9,0))</f>
        <v>0</v>
      </c>
      <c r="D55">
        <f>IF(E9=1,0, BaselineCalc!$B$8 + M9 - ROUND(M9*F9,0))</f>
        <v>0</v>
      </c>
      <c r="E55">
        <f t="shared" si="4"/>
        <v>0</v>
      </c>
      <c r="F55" s="2">
        <f>YearMap!B6</f>
        <v>6070.502881771873</v>
      </c>
      <c r="G55" s="2">
        <f>YearMap!C6</f>
        <v>1328990.4642279092</v>
      </c>
      <c r="H55" s="2">
        <f>YearMap!D6</f>
        <v>1530666.0599667749</v>
      </c>
      <c r="I55" t="str">
        <f t="shared" si="5"/>
        <v>A_Repurpose_Both_ops|FY2030</v>
      </c>
    </row>
    <row r="56" spans="1:9" hidden="1" x14ac:dyDescent="0.35">
      <c r="A56" t="str">
        <f>A10</f>
        <v>B_Repurpose_Echo_lease_PimaTargets</v>
      </c>
      <c r="B56" t="s">
        <v>3</v>
      </c>
      <c r="C56">
        <f>IF(D10=1,0, BaselineCalc!$B$7 + ROUND(I10*F10,0))</f>
        <v>0</v>
      </c>
      <c r="D56">
        <f>IF(E10=1,0, BaselineCalc!$B$8 + I10 - ROUND(I10*F10,0))</f>
        <v>296</v>
      </c>
      <c r="E56">
        <f t="shared" si="4"/>
        <v>296</v>
      </c>
      <c r="F56" s="2">
        <f>YearMap!B2</f>
        <v>5499.5759999999991</v>
      </c>
      <c r="G56" s="2">
        <f>YearMap!C2</f>
        <v>1203999.7679999999</v>
      </c>
      <c r="H56" s="2">
        <f>YearMap!D2</f>
        <v>1386707.9039999999</v>
      </c>
      <c r="I56" t="str">
        <f t="shared" si="5"/>
        <v>B_Repurpose_Echo_lease_PimaTargets|FY2026</v>
      </c>
    </row>
    <row r="57" spans="1:9" hidden="1" x14ac:dyDescent="0.35">
      <c r="A57" t="str">
        <f>A10</f>
        <v>B_Repurpose_Echo_lease_PimaTargets</v>
      </c>
      <c r="B57" t="s">
        <v>4</v>
      </c>
      <c r="C57">
        <f>IF(D10=1,0, BaselineCalc!$B$7 + ROUND(J10*F10,0))</f>
        <v>0</v>
      </c>
      <c r="D57">
        <f>IF(E10=1,0, BaselineCalc!$B$8 + J10 - ROUND(J10*F10,0))</f>
        <v>296</v>
      </c>
      <c r="E57">
        <f t="shared" si="4"/>
        <v>296</v>
      </c>
      <c r="F57" s="2">
        <f>YearMap!B3</f>
        <v>5637.0653999999995</v>
      </c>
      <c r="G57" s="2">
        <f>YearMap!C3</f>
        <v>1234099.7622</v>
      </c>
      <c r="H57" s="2">
        <f>YearMap!D3</f>
        <v>1421375.6015999999</v>
      </c>
      <c r="I57" t="str">
        <f t="shared" si="5"/>
        <v>B_Repurpose_Echo_lease_PimaTargets|FY2027</v>
      </c>
    </row>
    <row r="58" spans="1:9" hidden="1" x14ac:dyDescent="0.35">
      <c r="A58" t="str">
        <f>A10</f>
        <v>B_Repurpose_Echo_lease_PimaTargets</v>
      </c>
      <c r="B58" t="s">
        <v>5</v>
      </c>
      <c r="C58">
        <f>IF(D10=1,0, BaselineCalc!$B$7 + ROUND(K10*F10,0))</f>
        <v>0</v>
      </c>
      <c r="D58">
        <f>IF(E10=1,0, BaselineCalc!$B$8 + K10 - ROUND(K10*F10,0))</f>
        <v>296</v>
      </c>
      <c r="E58">
        <f t="shared" si="4"/>
        <v>296</v>
      </c>
      <c r="F58" s="2">
        <f>YearMap!B4</f>
        <v>5777.9920349999993</v>
      </c>
      <c r="G58" s="2">
        <f>YearMap!C4</f>
        <v>1264952.2562550001</v>
      </c>
      <c r="H58" s="2">
        <f>YearMap!D4</f>
        <v>1456909.9916400001</v>
      </c>
      <c r="I58" t="str">
        <f t="shared" si="5"/>
        <v>B_Repurpose_Echo_lease_PimaTargets|FY2028</v>
      </c>
    </row>
    <row r="59" spans="1:9" hidden="1" x14ac:dyDescent="0.35">
      <c r="A59" t="str">
        <f>A10</f>
        <v>B_Repurpose_Echo_lease_PimaTargets</v>
      </c>
      <c r="B59" t="s">
        <v>6</v>
      </c>
      <c r="C59">
        <f>IF(D10=1,0, BaselineCalc!$B$7 + ROUND(L10*F10,0))</f>
        <v>0</v>
      </c>
      <c r="D59">
        <f>IF(E10=1,0, BaselineCalc!$B$8 + L10 - ROUND(L10*F10,0))</f>
        <v>296</v>
      </c>
      <c r="E59">
        <f t="shared" si="4"/>
        <v>296</v>
      </c>
      <c r="F59" s="2">
        <f>YearMap!B5</f>
        <v>5922.4418358749981</v>
      </c>
      <c r="G59" s="2">
        <f>YearMap!C5</f>
        <v>1296576.0626613749</v>
      </c>
      <c r="H59" s="2">
        <f>YearMap!D5</f>
        <v>1493332.7414309999</v>
      </c>
      <c r="I59" t="str">
        <f t="shared" si="5"/>
        <v>B_Repurpose_Echo_lease_PimaTargets|FY2029</v>
      </c>
    </row>
    <row r="60" spans="1:9" hidden="1" x14ac:dyDescent="0.35">
      <c r="A60" t="str">
        <f>A10</f>
        <v>B_Repurpose_Echo_lease_PimaTargets</v>
      </c>
      <c r="B60" t="s">
        <v>7</v>
      </c>
      <c r="C60">
        <f>IF(D10=1,0, BaselineCalc!$B$7 + ROUND(M10*F10,0))</f>
        <v>0</v>
      </c>
      <c r="D60">
        <f>IF(E10=1,0, BaselineCalc!$B$8 + M10 - ROUND(M10*F10,0))</f>
        <v>296</v>
      </c>
      <c r="E60">
        <f t="shared" si="4"/>
        <v>296</v>
      </c>
      <c r="F60" s="2">
        <f>YearMap!B6</f>
        <v>6070.502881771873</v>
      </c>
      <c r="G60" s="2">
        <f>YearMap!C6</f>
        <v>1328990.4642279092</v>
      </c>
      <c r="H60" s="2">
        <f>YearMap!D6</f>
        <v>1530666.0599667749</v>
      </c>
      <c r="I60" t="str">
        <f t="shared" si="5"/>
        <v>B_Repurpose_Echo_lease_PimaTargets|FY2030</v>
      </c>
    </row>
    <row r="61" spans="1:9" hidden="1" x14ac:dyDescent="0.35">
      <c r="A61" t="str">
        <f>A11</f>
        <v>B_Repurpose_Echo_ops_PimaTargets</v>
      </c>
      <c r="B61" t="s">
        <v>3</v>
      </c>
      <c r="C61">
        <f>IF(D11=1,0, BaselineCalc!$B$7 + ROUND(I11*F11,0))</f>
        <v>0</v>
      </c>
      <c r="D61">
        <f>IF(E11=1,0, BaselineCalc!$B$8 + I11 - ROUND(I11*F11,0))</f>
        <v>446</v>
      </c>
      <c r="E61">
        <f t="shared" si="4"/>
        <v>446</v>
      </c>
      <c r="F61" s="2">
        <f>YearMap!B2</f>
        <v>5499.5759999999991</v>
      </c>
      <c r="G61" s="2">
        <f>YearMap!C2</f>
        <v>1203999.7679999999</v>
      </c>
      <c r="H61" s="2">
        <f>YearMap!D2</f>
        <v>1386707.9039999999</v>
      </c>
      <c r="I61" t="str">
        <f t="shared" si="5"/>
        <v>B_Repurpose_Echo_ops_PimaTargets|FY2026</v>
      </c>
    </row>
    <row r="62" spans="1:9" hidden="1" x14ac:dyDescent="0.35">
      <c r="A62" t="str">
        <f>A11</f>
        <v>B_Repurpose_Echo_ops_PimaTargets</v>
      </c>
      <c r="B62" t="s">
        <v>4</v>
      </c>
      <c r="C62">
        <f>IF(D11=1,0, BaselineCalc!$B$7 + ROUND(J11*F11,0))</f>
        <v>0</v>
      </c>
      <c r="D62">
        <f>IF(E11=1,0, BaselineCalc!$B$8 + J11 - ROUND(J11*F11,0))</f>
        <v>446</v>
      </c>
      <c r="E62">
        <f t="shared" si="4"/>
        <v>446</v>
      </c>
      <c r="F62" s="2">
        <f>YearMap!B3</f>
        <v>5637.0653999999995</v>
      </c>
      <c r="G62" s="2">
        <f>YearMap!C3</f>
        <v>1234099.7622</v>
      </c>
      <c r="H62" s="2">
        <f>YearMap!D3</f>
        <v>1421375.6015999999</v>
      </c>
      <c r="I62" t="str">
        <f t="shared" si="5"/>
        <v>B_Repurpose_Echo_ops_PimaTargets|FY2027</v>
      </c>
    </row>
    <row r="63" spans="1:9" hidden="1" x14ac:dyDescent="0.35">
      <c r="A63" t="str">
        <f>A11</f>
        <v>B_Repurpose_Echo_ops_PimaTargets</v>
      </c>
      <c r="B63" t="s">
        <v>5</v>
      </c>
      <c r="C63">
        <f>IF(D11=1,0, BaselineCalc!$B$7 + ROUND(K11*F11,0))</f>
        <v>0</v>
      </c>
      <c r="D63">
        <f>IF(E11=1,0, BaselineCalc!$B$8 + K11 - ROUND(K11*F11,0))</f>
        <v>446</v>
      </c>
      <c r="E63">
        <f t="shared" si="4"/>
        <v>446</v>
      </c>
      <c r="F63" s="2">
        <f>YearMap!B4</f>
        <v>5777.9920349999993</v>
      </c>
      <c r="G63" s="2">
        <f>YearMap!C4</f>
        <v>1264952.2562550001</v>
      </c>
      <c r="H63" s="2">
        <f>YearMap!D4</f>
        <v>1456909.9916400001</v>
      </c>
      <c r="I63" t="str">
        <f t="shared" si="5"/>
        <v>B_Repurpose_Echo_ops_PimaTargets|FY2028</v>
      </c>
    </row>
    <row r="64" spans="1:9" hidden="1" x14ac:dyDescent="0.35">
      <c r="A64" t="str">
        <f>A11</f>
        <v>B_Repurpose_Echo_ops_PimaTargets</v>
      </c>
      <c r="B64" t="s">
        <v>6</v>
      </c>
      <c r="C64">
        <f>IF(D11=1,0, BaselineCalc!$B$7 + ROUND(L11*F11,0))</f>
        <v>0</v>
      </c>
      <c r="D64">
        <f>IF(E11=1,0, BaselineCalc!$B$8 + L11 - ROUND(L11*F11,0))</f>
        <v>446</v>
      </c>
      <c r="E64">
        <f t="shared" si="4"/>
        <v>446</v>
      </c>
      <c r="F64" s="2">
        <f>YearMap!B5</f>
        <v>5922.4418358749981</v>
      </c>
      <c r="G64" s="2">
        <f>YearMap!C5</f>
        <v>1296576.0626613749</v>
      </c>
      <c r="H64" s="2">
        <f>YearMap!D5</f>
        <v>1493332.7414309999</v>
      </c>
      <c r="I64" t="str">
        <f t="shared" si="5"/>
        <v>B_Repurpose_Echo_ops_PimaTargets|FY2029</v>
      </c>
    </row>
    <row r="65" spans="1:9" hidden="1" x14ac:dyDescent="0.35">
      <c r="A65" t="str">
        <f>A11</f>
        <v>B_Repurpose_Echo_ops_PimaTargets</v>
      </c>
      <c r="B65" t="s">
        <v>7</v>
      </c>
      <c r="C65">
        <f>IF(D11=1,0, BaselineCalc!$B$7 + ROUND(M11*F11,0))</f>
        <v>0</v>
      </c>
      <c r="D65">
        <f>IF(E11=1,0, BaselineCalc!$B$8 + M11 - ROUND(M11*F11,0))</f>
        <v>446</v>
      </c>
      <c r="E65">
        <f t="shared" si="4"/>
        <v>446</v>
      </c>
      <c r="F65" s="2">
        <f>YearMap!B6</f>
        <v>6070.502881771873</v>
      </c>
      <c r="G65" s="2">
        <f>YearMap!C6</f>
        <v>1328990.4642279092</v>
      </c>
      <c r="H65" s="2">
        <f>YearMap!D6</f>
        <v>1530666.0599667749</v>
      </c>
      <c r="I65" t="str">
        <f t="shared" si="5"/>
        <v>B_Repurpose_Echo_ops_PimaTargets|FY2030</v>
      </c>
    </row>
    <row r="66" spans="1:9" hidden="1" x14ac:dyDescent="0.35">
      <c r="A66" t="str">
        <f>A12</f>
        <v>C_Repurpose_Pima_lease_EchoGHub_EchoTargets</v>
      </c>
      <c r="B66" t="s">
        <v>3</v>
      </c>
      <c r="C66">
        <f>IF(D12=1,0, BaselineCalc!$B$7 + ROUND(I12*F12,0))</f>
        <v>257</v>
      </c>
      <c r="D66">
        <f>IF(E12=1,0, BaselineCalc!$B$8 + I12 - ROUND(I12*F12,0))</f>
        <v>0</v>
      </c>
      <c r="E66">
        <f t="shared" si="4"/>
        <v>257</v>
      </c>
      <c r="F66" s="2">
        <f>YearMap!B2</f>
        <v>5499.5759999999991</v>
      </c>
      <c r="G66" s="2">
        <f>YearMap!C2</f>
        <v>1203999.7679999999</v>
      </c>
      <c r="H66" s="2">
        <f>YearMap!D2</f>
        <v>1386707.9039999999</v>
      </c>
      <c r="I66" t="str">
        <f t="shared" si="5"/>
        <v>C_Repurpose_Pima_lease_EchoGHub_EchoTargets|FY2026</v>
      </c>
    </row>
    <row r="67" spans="1:9" hidden="1" x14ac:dyDescent="0.35">
      <c r="A67" t="str">
        <f>A12</f>
        <v>C_Repurpose_Pima_lease_EchoGHub_EchoTargets</v>
      </c>
      <c r="B67" t="s">
        <v>4</v>
      </c>
      <c r="C67">
        <f>IF(D12=1,0, BaselineCalc!$B$7 + ROUND(J12*F12,0))</f>
        <v>257</v>
      </c>
      <c r="D67">
        <f>IF(E12=1,0, BaselineCalc!$B$8 + J12 - ROUND(J12*F12,0))</f>
        <v>0</v>
      </c>
      <c r="E67">
        <f t="shared" si="4"/>
        <v>257</v>
      </c>
      <c r="F67" s="2">
        <f>YearMap!B3</f>
        <v>5637.0653999999995</v>
      </c>
      <c r="G67" s="2">
        <f>YearMap!C3</f>
        <v>1234099.7622</v>
      </c>
      <c r="H67" s="2">
        <f>YearMap!D3</f>
        <v>1421375.6015999999</v>
      </c>
      <c r="I67" t="str">
        <f t="shared" si="5"/>
        <v>C_Repurpose_Pima_lease_EchoGHub_EchoTargets|FY2027</v>
      </c>
    </row>
    <row r="68" spans="1:9" hidden="1" x14ac:dyDescent="0.35">
      <c r="A68" t="str">
        <f>A12</f>
        <v>C_Repurpose_Pima_lease_EchoGHub_EchoTargets</v>
      </c>
      <c r="B68" t="s">
        <v>5</v>
      </c>
      <c r="C68">
        <f>IF(D12=1,0, BaselineCalc!$B$7 + ROUND(K12*F12,0))</f>
        <v>257</v>
      </c>
      <c r="D68">
        <f>IF(E12=1,0, BaselineCalc!$B$8 + K12 - ROUND(K12*F12,0))</f>
        <v>0</v>
      </c>
      <c r="E68">
        <f t="shared" si="4"/>
        <v>257</v>
      </c>
      <c r="F68" s="2">
        <f>YearMap!B4</f>
        <v>5777.9920349999993</v>
      </c>
      <c r="G68" s="2">
        <f>YearMap!C4</f>
        <v>1264952.2562550001</v>
      </c>
      <c r="H68" s="2">
        <f>YearMap!D4</f>
        <v>1456909.9916400001</v>
      </c>
      <c r="I68" t="str">
        <f t="shared" si="5"/>
        <v>C_Repurpose_Pima_lease_EchoGHub_EchoTargets|FY2028</v>
      </c>
    </row>
    <row r="69" spans="1:9" hidden="1" x14ac:dyDescent="0.35">
      <c r="A69" t="str">
        <f>A12</f>
        <v>C_Repurpose_Pima_lease_EchoGHub_EchoTargets</v>
      </c>
      <c r="B69" t="s">
        <v>6</v>
      </c>
      <c r="C69">
        <f>IF(D12=1,0, BaselineCalc!$B$7 + ROUND(L12*F12,0))</f>
        <v>257</v>
      </c>
      <c r="D69">
        <f>IF(E12=1,0, BaselineCalc!$B$8 + L12 - ROUND(L12*F12,0))</f>
        <v>0</v>
      </c>
      <c r="E69">
        <f t="shared" si="4"/>
        <v>257</v>
      </c>
      <c r="F69" s="2">
        <f>YearMap!B5</f>
        <v>5922.4418358749981</v>
      </c>
      <c r="G69" s="2">
        <f>YearMap!C5</f>
        <v>1296576.0626613749</v>
      </c>
      <c r="H69" s="2">
        <f>YearMap!D5</f>
        <v>1493332.7414309999</v>
      </c>
      <c r="I69" t="str">
        <f t="shared" si="5"/>
        <v>C_Repurpose_Pima_lease_EchoGHub_EchoTargets|FY2029</v>
      </c>
    </row>
    <row r="70" spans="1:9" hidden="1" x14ac:dyDescent="0.35">
      <c r="A70" t="str">
        <f>A12</f>
        <v>C_Repurpose_Pima_lease_EchoGHub_EchoTargets</v>
      </c>
      <c r="B70" t="s">
        <v>7</v>
      </c>
      <c r="C70">
        <f>IF(D12=1,0, BaselineCalc!$B$7 + ROUND(M12*F12,0))</f>
        <v>257</v>
      </c>
      <c r="D70">
        <f>IF(E12=1,0, BaselineCalc!$B$8 + M12 - ROUND(M12*F12,0))</f>
        <v>0</v>
      </c>
      <c r="E70">
        <f t="shared" si="4"/>
        <v>257</v>
      </c>
      <c r="F70" s="2">
        <f>YearMap!B6</f>
        <v>6070.502881771873</v>
      </c>
      <c r="G70" s="2">
        <f>YearMap!C6</f>
        <v>1328990.4642279092</v>
      </c>
      <c r="H70" s="2">
        <f>YearMap!D6</f>
        <v>1530666.0599667749</v>
      </c>
      <c r="I70" t="str">
        <f t="shared" si="5"/>
        <v>C_Repurpose_Pima_lease_EchoGHub_EchoTargets|FY2030</v>
      </c>
    </row>
    <row r="71" spans="1:9" hidden="1" x14ac:dyDescent="0.35">
      <c r="A71" t="str">
        <f>A13</f>
        <v>C_Repurpose_Pima_ops_EchoGHub_EchoTargets</v>
      </c>
      <c r="B71" t="s">
        <v>3</v>
      </c>
      <c r="C71">
        <f>IF(D13=1,0, BaselineCalc!$B$7 + ROUND(I13*F13,0))</f>
        <v>457</v>
      </c>
      <c r="D71">
        <f>IF(E13=1,0, BaselineCalc!$B$8 + I13 - ROUND(I13*F13,0))</f>
        <v>0</v>
      </c>
      <c r="E71">
        <f t="shared" si="4"/>
        <v>457</v>
      </c>
      <c r="F71" s="2">
        <f>YearMap!B2</f>
        <v>5499.5759999999991</v>
      </c>
      <c r="G71" s="2">
        <f>YearMap!C2</f>
        <v>1203999.7679999999</v>
      </c>
      <c r="H71" s="2">
        <f>YearMap!D2</f>
        <v>1386707.9039999999</v>
      </c>
      <c r="I71" t="str">
        <f t="shared" si="5"/>
        <v>C_Repurpose_Pima_ops_EchoGHub_EchoTargets|FY2026</v>
      </c>
    </row>
    <row r="72" spans="1:9" hidden="1" x14ac:dyDescent="0.35">
      <c r="A72" t="str">
        <f>A13</f>
        <v>C_Repurpose_Pima_ops_EchoGHub_EchoTargets</v>
      </c>
      <c r="B72" t="s">
        <v>4</v>
      </c>
      <c r="C72">
        <f>IF(D13=1,0, BaselineCalc!$B$7 + ROUND(J13*F13,0))</f>
        <v>457</v>
      </c>
      <c r="D72">
        <f>IF(E13=1,0, BaselineCalc!$B$8 + J13 - ROUND(J13*F13,0))</f>
        <v>0</v>
      </c>
      <c r="E72">
        <f t="shared" si="4"/>
        <v>457</v>
      </c>
      <c r="F72" s="2">
        <f>YearMap!B3</f>
        <v>5637.0653999999995</v>
      </c>
      <c r="G72" s="2">
        <f>YearMap!C3</f>
        <v>1234099.7622</v>
      </c>
      <c r="H72" s="2">
        <f>YearMap!D3</f>
        <v>1421375.6015999999</v>
      </c>
      <c r="I72" t="str">
        <f t="shared" si="5"/>
        <v>C_Repurpose_Pima_ops_EchoGHub_EchoTargets|FY2027</v>
      </c>
    </row>
    <row r="73" spans="1:9" hidden="1" x14ac:dyDescent="0.35">
      <c r="A73" t="str">
        <f>A13</f>
        <v>C_Repurpose_Pima_ops_EchoGHub_EchoTargets</v>
      </c>
      <c r="B73" t="s">
        <v>5</v>
      </c>
      <c r="C73">
        <f>IF(D13=1,0, BaselineCalc!$B$7 + ROUND(K13*F13,0))</f>
        <v>457</v>
      </c>
      <c r="D73">
        <f>IF(E13=1,0, BaselineCalc!$B$8 + K13 - ROUND(K13*F13,0))</f>
        <v>0</v>
      </c>
      <c r="E73">
        <f t="shared" si="4"/>
        <v>457</v>
      </c>
      <c r="F73" s="2">
        <f>YearMap!B4</f>
        <v>5777.9920349999993</v>
      </c>
      <c r="G73" s="2">
        <f>YearMap!C4</f>
        <v>1264952.2562550001</v>
      </c>
      <c r="H73" s="2">
        <f>YearMap!D4</f>
        <v>1456909.9916400001</v>
      </c>
      <c r="I73" t="str">
        <f t="shared" si="5"/>
        <v>C_Repurpose_Pima_ops_EchoGHub_EchoTargets|FY2028</v>
      </c>
    </row>
    <row r="74" spans="1:9" hidden="1" x14ac:dyDescent="0.35">
      <c r="A74" t="str">
        <f>A13</f>
        <v>C_Repurpose_Pima_ops_EchoGHub_EchoTargets</v>
      </c>
      <c r="B74" t="s">
        <v>6</v>
      </c>
      <c r="C74">
        <f>IF(D13=1,0, BaselineCalc!$B$7 + ROUND(L13*F13,0))</f>
        <v>457</v>
      </c>
      <c r="D74">
        <f>IF(E13=1,0, BaselineCalc!$B$8 + L13 - ROUND(L13*F13,0))</f>
        <v>0</v>
      </c>
      <c r="E74">
        <f t="shared" si="4"/>
        <v>457</v>
      </c>
      <c r="F74" s="2">
        <f>YearMap!B5</f>
        <v>5922.4418358749981</v>
      </c>
      <c r="G74" s="2">
        <f>YearMap!C5</f>
        <v>1296576.0626613749</v>
      </c>
      <c r="H74" s="2">
        <f>YearMap!D5</f>
        <v>1493332.7414309999</v>
      </c>
      <c r="I74" t="str">
        <f t="shared" si="5"/>
        <v>C_Repurpose_Pima_ops_EchoGHub_EchoTargets|FY2029</v>
      </c>
    </row>
    <row r="75" spans="1:9" hidden="1" x14ac:dyDescent="0.35">
      <c r="A75" t="str">
        <f>A13</f>
        <v>C_Repurpose_Pima_ops_EchoGHub_EchoTargets</v>
      </c>
      <c r="B75" t="s">
        <v>7</v>
      </c>
      <c r="C75">
        <f>IF(D13=1,0, BaselineCalc!$B$7 + ROUND(M13*F13,0))</f>
        <v>457</v>
      </c>
      <c r="D75">
        <f>IF(E13=1,0, BaselineCalc!$B$8 + M13 - ROUND(M13*F13,0))</f>
        <v>0</v>
      </c>
      <c r="E75">
        <f t="shared" si="4"/>
        <v>457</v>
      </c>
      <c r="F75" s="2">
        <f>YearMap!B6</f>
        <v>6070.502881771873</v>
      </c>
      <c r="G75" s="2">
        <f>YearMap!C6</f>
        <v>1328990.4642279092</v>
      </c>
      <c r="H75" s="2">
        <f>YearMap!D6</f>
        <v>1530666.0599667749</v>
      </c>
      <c r="I75" t="str">
        <f t="shared" si="5"/>
        <v>C_Repurpose_Pima_ops_EchoGHub_EchoTargets|FY2030</v>
      </c>
    </row>
  </sheetData>
  <sheetProtection algorithmName="SHA-512" hashValue="f0Vx02wR3UotNco7nHtGN2IG5gvh4iPZoYh1y3cFYLMPEDrYTvJ+hQsac5514BBc8Ufq9LlAeO/S9ad87kEcmQ==" saltValue="NUoCjfy3N5tGVeI1OY1UIA==" spinCount="100000" sheet="1" objects="1" scenarios="1"/>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9</v>
      </c>
      <c r="B1" t="s">
        <v>10</v>
      </c>
      <c r="D1" t="s">
        <v>140</v>
      </c>
    </row>
    <row r="2" spans="1:4" x14ac:dyDescent="0.35">
      <c r="A2" t="s">
        <v>139</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Control_Center</vt:lpstr>
      <vt:lpstr>Dashboard</vt:lpstr>
      <vt:lpstr>Definitions_Sources</vt:lpstr>
      <vt:lpstr>Q&amp;A</vt:lpstr>
      <vt:lpstr>MultiYear_ProForma</vt:lpstr>
      <vt:lpstr>BaselineCalc</vt:lpstr>
      <vt:lpstr>YearMap</vt:lpstr>
      <vt:lpstr>Scenarios</vt:lpstr>
      <vt:lpstr>Other_Parameters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2025-10-25T05:23:00Z</dcterms:modified>
</cp:coreProperties>
</file>