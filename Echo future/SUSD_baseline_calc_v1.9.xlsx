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0" documentId="8_{073C4157-F782-431D-AA4C-B72C4C2F4F0D}" xr6:coauthVersionLast="47" xr6:coauthVersionMax="47" xr10:uidLastSave="{00000000-0000-0000-0000-000000000000}"/>
  <bookViews>
    <workbookView xWindow="40215" yWindow="1185" windowWidth="16710" windowHeight="13620" activeTab="2" xr2:uid="{00000000-000D-0000-FFFF-FFFF00000000}"/>
  </bookViews>
  <sheets>
    <sheet name="BaselineCalc" sheetId="1" r:id="rId1"/>
    <sheet name="YearMap" sheetId="2" r:id="rId2"/>
    <sheet name="Scenarios" sheetId="4" r:id="rId3"/>
    <sheet name="Not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C9" i="4"/>
  <c r="E9" i="4" s="1"/>
  <c r="I21" i="4"/>
  <c r="D21" i="4"/>
  <c r="C21" i="4"/>
  <c r="E21" i="4" s="1"/>
  <c r="A21" i="4"/>
  <c r="I20" i="4"/>
  <c r="D20" i="4"/>
  <c r="C20" i="4"/>
  <c r="A20" i="4"/>
  <c r="I19" i="4"/>
  <c r="D19" i="4"/>
  <c r="C19" i="4"/>
  <c r="E19" i="4" s="1"/>
  <c r="A19" i="4"/>
  <c r="I18" i="4"/>
  <c r="D18" i="4"/>
  <c r="C18" i="4"/>
  <c r="A18" i="4"/>
  <c r="I17" i="4"/>
  <c r="D17" i="4"/>
  <c r="C17" i="4"/>
  <c r="E17" i="4" s="1"/>
  <c r="A17" i="4"/>
  <c r="I16" i="4"/>
  <c r="D16" i="4"/>
  <c r="C16" i="4"/>
  <c r="E16" i="4" s="1"/>
  <c r="A16" i="4"/>
  <c r="I15" i="4"/>
  <c r="D15" i="4"/>
  <c r="C15" i="4"/>
  <c r="E15" i="4" s="1"/>
  <c r="A15" i="4"/>
  <c r="I14" i="4"/>
  <c r="D14" i="4"/>
  <c r="C14" i="4"/>
  <c r="E14" i="4" s="1"/>
  <c r="A14" i="4"/>
  <c r="I13" i="4"/>
  <c r="D13" i="4"/>
  <c r="C13" i="4"/>
  <c r="E13" i="4" s="1"/>
  <c r="A13" i="4"/>
  <c r="I12" i="4"/>
  <c r="D12" i="4"/>
  <c r="C12" i="4"/>
  <c r="E12" i="4" s="1"/>
  <c r="A12" i="4"/>
  <c r="I11" i="4"/>
  <c r="D11" i="4"/>
  <c r="C11" i="4"/>
  <c r="E11" i="4" s="1"/>
  <c r="A11" i="4"/>
  <c r="I10" i="4"/>
  <c r="D10" i="4"/>
  <c r="C10" i="4"/>
  <c r="E10" i="4" s="1"/>
  <c r="A10" i="4"/>
  <c r="I9" i="4"/>
  <c r="D9" i="4"/>
  <c r="A9" i="4"/>
  <c r="I8" i="4"/>
  <c r="D8" i="4"/>
  <c r="C8" i="4"/>
  <c r="E8" i="4" s="1"/>
  <c r="A8" i="4"/>
  <c r="I7" i="4"/>
  <c r="D7" i="4"/>
  <c r="C7" i="4"/>
  <c r="E7" i="4" s="1"/>
  <c r="A7" i="4"/>
  <c r="B9" i="1"/>
  <c r="B13" i="1" s="1"/>
  <c r="E20" i="4" l="1"/>
  <c r="E18" i="4"/>
  <c r="B14" i="1"/>
  <c r="B15" i="1"/>
  <c r="C18" i="1" l="1"/>
  <c r="B18" i="1"/>
  <c r="F18" i="1"/>
  <c r="B6" i="2" s="1"/>
  <c r="D18" i="1"/>
  <c r="E18" i="1"/>
  <c r="C17" i="1"/>
  <c r="F17" i="1"/>
  <c r="D17" i="1"/>
  <c r="E17" i="1"/>
  <c r="B17" i="1"/>
  <c r="C20" i="1" l="1"/>
  <c r="D3" i="2" s="1"/>
  <c r="D14" i="1"/>
  <c r="D13" i="1" s="1"/>
  <c r="C19" i="1"/>
  <c r="C3" i="2" s="1"/>
  <c r="B5" i="2"/>
  <c r="F15" i="1"/>
  <c r="F19" i="1"/>
  <c r="C6" i="2" s="1"/>
  <c r="F20" i="1"/>
  <c r="D6" i="2" s="1"/>
  <c r="E15" i="1"/>
  <c r="B4" i="2"/>
  <c r="F11" i="4"/>
  <c r="F21" i="4"/>
  <c r="F16" i="4"/>
  <c r="D19" i="1"/>
  <c r="C4" i="2" s="1"/>
  <c r="D20" i="1"/>
  <c r="D4" i="2" s="1"/>
  <c r="E14" i="1"/>
  <c r="E13" i="1" s="1"/>
  <c r="B19" i="1"/>
  <c r="C2" i="2" s="1"/>
  <c r="C14" i="1"/>
  <c r="C13" i="1" s="1"/>
  <c r="B20" i="1"/>
  <c r="D2" i="2" s="1"/>
  <c r="B2" i="2"/>
  <c r="C15" i="1"/>
  <c r="E19" i="1"/>
  <c r="C5" i="2" s="1"/>
  <c r="F14" i="1"/>
  <c r="F13" i="1" s="1"/>
  <c r="E20" i="1"/>
  <c r="D5" i="2" s="1"/>
  <c r="D15" i="1"/>
  <c r="B3" i="2"/>
  <c r="H20" i="4" l="1"/>
  <c r="H15" i="4"/>
  <c r="H10" i="4"/>
  <c r="G17" i="4"/>
  <c r="G12" i="4"/>
  <c r="H14" i="4"/>
  <c r="H19" i="4"/>
  <c r="H9" i="4"/>
  <c r="G20" i="4"/>
  <c r="G15" i="4"/>
  <c r="G10" i="4"/>
  <c r="G19" i="4"/>
  <c r="G14" i="4"/>
  <c r="G9" i="4"/>
  <c r="F20" i="4"/>
  <c r="F15" i="4"/>
  <c r="F10" i="4"/>
  <c r="G18" i="4"/>
  <c r="G13" i="4"/>
  <c r="G8" i="4"/>
  <c r="H21" i="4"/>
  <c r="H16" i="4"/>
  <c r="H11" i="4"/>
  <c r="G21" i="4"/>
  <c r="G11" i="4"/>
  <c r="G16" i="4"/>
  <c r="F17" i="4"/>
  <c r="F12" i="4"/>
  <c r="H17" i="4"/>
  <c r="H7" i="4"/>
  <c r="H12" i="4"/>
  <c r="F18" i="4"/>
  <c r="F8" i="4"/>
  <c r="F13" i="4"/>
  <c r="F9" i="4"/>
  <c r="F19" i="4"/>
  <c r="F14" i="4"/>
  <c r="H8" i="4"/>
  <c r="H13" i="4"/>
  <c r="H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tc={9BB57455-95D1-427F-BCB3-25C6C55E7919}</author>
  </authors>
  <commentList>
    <comment ref="G4" authorId="0" shapeId="0" xr:uid="{9BB57455-95D1-427F-BCB3-25C6C55E791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showed ‘0.007’.  I assume it should be ‘0.0015’ instead?  Also - I assume it is an editable input?  Or should it pull from BaselineCalc tab?</t>
      </text>
    </comment>
  </commentList>
</comments>
</file>

<file path=xl/sharedStrings.xml><?xml version="1.0" encoding="utf-8"?>
<sst xmlns="http://schemas.openxmlformats.org/spreadsheetml/2006/main" count="110" uniqueCount="79">
  <si>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</si>
  <si>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</si>
  <si>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</si>
  <si>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</si>
  <si>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</si>
  <si>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</si>
  <si>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</si>
  <si>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</si>
  <si>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</si>
  <si>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</si>
  <si>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</si>
  <si>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</si>
  <si>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</si>
  <si>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</si>
  <si>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</si>
  <si>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</si>
  <si>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</si>
  <si>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</si>
  <si>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</si>
  <si>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</si>
  <si>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</si>
  <si>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</si>
  <si>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</si>
  <si>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</si>
  <si>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</si>
  <si>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</si>
  <si>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</si>
  <si>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</si>
  <si>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</si>
  <si>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</si>
  <si>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</si>
  <si>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</si>
  <si>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</si>
  <si>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</si>
  <si>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</si>
  <si>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</si>
  <si>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</si>
  <si>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</si>
  <si>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</si>
  <si>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</si>
  <si>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</si>
  <si>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</si>
  <si>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</si>
  <si>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</si>
  <si>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FY2026</t>
  </si>
  <si>
    <t>FY2027</t>
  </si>
  <si>
    <t>FY2028</t>
  </si>
  <si>
    <t>FY2029</t>
  </si>
  <si>
    <t>FY2030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</si>
  <si>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</si>
  <si>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</si>
  <si>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</si>
  <si>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</si>
  <si>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</si>
  <si>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</si>
  <si>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</si>
  <si>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</si>
  <si>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</si>
  <si>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</si>
  <si>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ScenarioKey</t>
  </si>
  <si>
    <t>Label</t>
  </si>
  <si>
    <t>Overlay</t>
  </si>
  <si>
    <t>CloseEcho</t>
  </si>
  <si>
    <t>ClosePima</t>
  </si>
  <si>
    <t>EchoShareDist</t>
  </si>
  <si>
    <t>ExtraSave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</si>
  <si>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</si>
  <si>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</si>
  <si>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</si>
  <si>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</si>
  <si>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</si>
  <si>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</si>
  <si>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</si>
  <si>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</si>
  <si>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</si>
  <si>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Echo_ADM</t>
  </si>
  <si>
    <t>Pima_ADM</t>
  </si>
  <si>
    <t>Total_ADM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</si>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</sst>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ian Hohl" id="{F5096B0B-7AD5-440F-9EA6-454C4381A58C}" userId="757b1534c68434be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5-10-21T23:50:26.75" personId="{F5096B0B-7AD5-440F-9EA6-454C4381A58C}" id="{9BB57455-95D1-427F-BCB3-25C6C55E7919}">
    <text>This showed ‘0.007’.  I assume it should be ‘0.0015’ instead?  Also - I assume it is an editable input?  Or should it pull from BaselineCalc tab?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2" activePane="bottomLeft" state="frozen"/>
      <selection pane="bottomLeft" activeCell="A18" sqref="A18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B2" sqref="B2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7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5">
      <c r="A2" t="s">
        <v>44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</row>
    <row r="3" spans="1:7" x14ac:dyDescent="0.35">
      <c r="A3" t="s">
        <v>45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</row>
    <row r="4" spans="1:7" x14ac:dyDescent="0.35">
      <c r="A4" t="s">
        <v>46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</row>
    <row r="5" spans="1:7" x14ac:dyDescent="0.35">
      <c r="A5" t="s">
        <v>47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</row>
    <row r="6" spans="1:7" x14ac:dyDescent="0.35">
      <c r="A6" t="s">
        <v>48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abSelected="1" zoomScale="85" zoomScaleNormal="85" workbookViewId="0">
      <selection activeCell="F9" sqref="F9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</cols>
  <sheetData>
    <row r="1" spans="1:9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2</v>
      </c>
    </row>
    <row r="2" spans="1:9" x14ac:dyDescent="0.35">
      <c r="A2" t="s">
        <v>66</v>
      </c>
      <c r="B2" t="s">
        <v>67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68</v>
      </c>
    </row>
    <row r="3" spans="1:9" x14ac:dyDescent="0.35">
      <c r="A3" t="s">
        <v>69</v>
      </c>
      <c r="B3" t="s">
        <v>70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71</v>
      </c>
    </row>
    <row r="4" spans="1:9" x14ac:dyDescent="0.35">
      <c r="A4" t="s">
        <v>72</v>
      </c>
      <c r="B4" t="s">
        <v>73</v>
      </c>
      <c r="C4" s="4">
        <v>0</v>
      </c>
      <c r="D4" s="4">
        <v>0</v>
      </c>
      <c r="E4" s="4">
        <v>0</v>
      </c>
      <c r="F4" s="4">
        <v>0.7</v>
      </c>
      <c r="G4" s="4">
        <v>1.5E-3</v>
      </c>
      <c r="H4" t="s">
        <v>74</v>
      </c>
    </row>
    <row r="6" spans="1:9" x14ac:dyDescent="0.35">
      <c r="A6" t="s">
        <v>59</v>
      </c>
      <c r="B6" t="s">
        <v>37</v>
      </c>
      <c r="C6" t="s">
        <v>75</v>
      </c>
      <c r="D6" t="s">
        <v>76</v>
      </c>
      <c r="E6" t="s">
        <v>77</v>
      </c>
      <c r="F6" t="s">
        <v>38</v>
      </c>
      <c r="G6" t="s">
        <v>39</v>
      </c>
      <c r="H6" t="s">
        <v>40</v>
      </c>
      <c r="I6" t="s">
        <v>78</v>
      </c>
    </row>
    <row r="7" spans="1:9" x14ac:dyDescent="0.35">
      <c r="A7" t="str">
        <f>A2</f>
        <v>D_Grow_Both_0</v>
      </c>
      <c r="B7" t="s">
        <v>44</v>
      </c>
      <c r="C7">
        <f>IF(D2=1,0, BaselineCalc!$B$7 + ROUND(C2*F2,0))</f>
        <v>257</v>
      </c>
      <c r="D7">
        <f>IF(E2=1,0, BaselineCalc!$B$8 + C2 - ROUND(C2*F2,0))</f>
        <v>296</v>
      </c>
      <c r="E7">
        <f t="shared" ref="E7:E21" si="0">C7+D7</f>
        <v>553</v>
      </c>
      <c r="F7" s="2">
        <f>VLOOKUP(B7,YearMap!$A$2:$B$6,2,FALSE)</f>
        <v>7129.079999999999</v>
      </c>
      <c r="G7" s="2">
        <f>VLOOKUP(B7,YearMap!$A$2:$C$6,3,FALSE)</f>
        <v>785217.23999999987</v>
      </c>
      <c r="H7" s="2">
        <f>VLOOKUP(B7,YearMap!$A$2:$D$6,4,FALSE)</f>
        <v>904374.71999999986</v>
      </c>
      <c r="I7" t="str">
        <f t="shared" ref="I7:I21" si="1">A7&amp;"|"&amp;B7</f>
        <v>D_Grow_Both_0|FY2026</v>
      </c>
    </row>
    <row r="8" spans="1:9" x14ac:dyDescent="0.35">
      <c r="A8" t="str">
        <f>A2</f>
        <v>D_Grow_Both_0</v>
      </c>
      <c r="B8" t="s">
        <v>45</v>
      </c>
      <c r="C8">
        <f>IF(D2=1,0, BaselineCalc!$B$7 + ROUND(C2*F2,0))</f>
        <v>257</v>
      </c>
      <c r="D8">
        <f>IF(E2=1,0, BaselineCalc!$B$8 + C2 - ROUND(C2*F2,0))</f>
        <v>296</v>
      </c>
      <c r="E8">
        <f t="shared" si="0"/>
        <v>553</v>
      </c>
      <c r="F8" s="2">
        <f>VLOOKUP(B8,YearMap!$A$2:$B$6,2,FALSE)</f>
        <v>7307.3069999999989</v>
      </c>
      <c r="G8" s="2">
        <f>VLOOKUP(B8,YearMap!$A$2:$C$6,3,FALSE)</f>
        <v>804847.67099999997</v>
      </c>
      <c r="H8" s="2">
        <f>VLOOKUP(B8,YearMap!$A$2:$D$6,4,FALSE)</f>
        <v>926984.08799999999</v>
      </c>
      <c r="I8" t="str">
        <f t="shared" si="1"/>
        <v>D_Grow_Both_0|FY2027</v>
      </c>
    </row>
    <row r="9" spans="1:9" x14ac:dyDescent="0.35">
      <c r="A9" t="str">
        <f>A2</f>
        <v>D_Grow_Both_0</v>
      </c>
      <c r="B9" t="s">
        <v>46</v>
      </c>
      <c r="C9">
        <f>IF(D2=1,0, BaselineCalc!$B$7 + ROUND(C2*F2,0))</f>
        <v>257</v>
      </c>
      <c r="D9">
        <f>IF(E2=1,0, BaselineCalc!$B$8 + C2 - ROUND(C2*F2,0))</f>
        <v>296</v>
      </c>
      <c r="E9">
        <f t="shared" si="0"/>
        <v>553</v>
      </c>
      <c r="F9" s="2">
        <f>VLOOKUP(B9,YearMap!$A$2:$B$6,2,FALSE)</f>
        <v>7489.9896749999989</v>
      </c>
      <c r="G9" s="2">
        <f>VLOOKUP(B9,YearMap!$A$2:$C$6,3,FALSE)</f>
        <v>824968.86277499993</v>
      </c>
      <c r="H9" s="2">
        <f>VLOOKUP(B9,YearMap!$A$2:$D$6,4,FALSE)</f>
        <v>950158.69019999984</v>
      </c>
      <c r="I9" t="str">
        <f t="shared" si="1"/>
        <v>D_Grow_Both_0|FY2028</v>
      </c>
    </row>
    <row r="10" spans="1:9" x14ac:dyDescent="0.35">
      <c r="A10" t="str">
        <f>A2</f>
        <v>D_Grow_Both_0</v>
      </c>
      <c r="B10" t="s">
        <v>47</v>
      </c>
      <c r="C10">
        <f>IF(D2=1,0, BaselineCalc!$B$7 + ROUND(C2*F2,0))</f>
        <v>257</v>
      </c>
      <c r="D10">
        <f>IF(E2=1,0, BaselineCalc!$B$8 + C2 - ROUND(C2*F2,0))</f>
        <v>296</v>
      </c>
      <c r="E10">
        <f t="shared" si="0"/>
        <v>553</v>
      </c>
      <c r="F10" s="2">
        <f>VLOOKUP(B10,YearMap!$A$2:$B$6,2,FALSE)</f>
        <v>7677.2394168749979</v>
      </c>
      <c r="G10" s="2">
        <f>VLOOKUP(B10,YearMap!$A$2:$C$6,3,FALSE)</f>
        <v>845593.08434437483</v>
      </c>
      <c r="H10" s="2">
        <f>VLOOKUP(B10,YearMap!$A$2:$D$6,4,FALSE)</f>
        <v>973912.65745499986</v>
      </c>
      <c r="I10" t="str">
        <f t="shared" si="1"/>
        <v>D_Grow_Both_0|FY2029</v>
      </c>
    </row>
    <row r="11" spans="1:9" x14ac:dyDescent="0.35">
      <c r="A11" t="str">
        <f>A2</f>
        <v>D_Grow_Both_0</v>
      </c>
      <c r="B11" t="s">
        <v>48</v>
      </c>
      <c r="C11">
        <f>IF(D2=1,0, BaselineCalc!$B$7 + ROUND(C2*F2,0))</f>
        <v>257</v>
      </c>
      <c r="D11">
        <f>IF(E2=1,0, BaselineCalc!$B$8 + C2 - ROUND(C2*F2,0))</f>
        <v>296</v>
      </c>
      <c r="E11">
        <f t="shared" si="0"/>
        <v>553</v>
      </c>
      <c r="F11" s="2">
        <f>VLOOKUP(B11,YearMap!$A$2:$B$6,2,FALSE)</f>
        <v>7869.1704022968725</v>
      </c>
      <c r="G11" s="2">
        <f>VLOOKUP(B11,YearMap!$A$2:$C$6,3,FALSE)</f>
        <v>866732.91145298409</v>
      </c>
      <c r="H11" s="2">
        <f>VLOOKUP(B11,YearMap!$A$2:$D$6,4,FALSE)</f>
        <v>998260.47389137466</v>
      </c>
      <c r="I11" t="str">
        <f t="shared" si="1"/>
        <v>D_Grow_Both_0|FY2030</v>
      </c>
    </row>
    <row r="12" spans="1:9" x14ac:dyDescent="0.35">
      <c r="A12" t="str">
        <f>A3</f>
        <v>E_StatusQuo_Targets_0</v>
      </c>
      <c r="B12" t="s">
        <v>44</v>
      </c>
      <c r="C12">
        <f>IF(D3=1,0, BaselineCalc!$B$7 + ROUND(C3*F3,0))</f>
        <v>257</v>
      </c>
      <c r="D12">
        <f>IF(E3=1,0, BaselineCalc!$B$8 + C3 - ROUND(C3*F3,0))</f>
        <v>296</v>
      </c>
      <c r="E12">
        <f t="shared" si="0"/>
        <v>553</v>
      </c>
      <c r="F12" s="2">
        <f>VLOOKUP(B12,YearMap!$A$2:$B$6,2,FALSE)</f>
        <v>7129.079999999999</v>
      </c>
      <c r="G12" s="2">
        <f>VLOOKUP(B12,YearMap!$A$2:$C$6,3,FALSE)</f>
        <v>785217.23999999987</v>
      </c>
      <c r="H12" s="2">
        <f>VLOOKUP(B12,YearMap!$A$2:$D$6,4,FALSE)</f>
        <v>904374.71999999986</v>
      </c>
      <c r="I12" t="str">
        <f t="shared" si="1"/>
        <v>E_StatusQuo_Targets_0|FY2026</v>
      </c>
    </row>
    <row r="13" spans="1:9" x14ac:dyDescent="0.35">
      <c r="A13" t="str">
        <f>A3</f>
        <v>E_StatusQuo_Targets_0</v>
      </c>
      <c r="B13" t="s">
        <v>45</v>
      </c>
      <c r="C13">
        <f>IF(D3=1,0, BaselineCalc!$B$7 + ROUND(C3*F3,0))</f>
        <v>257</v>
      </c>
      <c r="D13">
        <f>IF(E3=1,0, BaselineCalc!$B$8 + C3 - ROUND(C3*F3,0))</f>
        <v>296</v>
      </c>
      <c r="E13">
        <f t="shared" si="0"/>
        <v>553</v>
      </c>
      <c r="F13" s="2">
        <f>VLOOKUP(B13,YearMap!$A$2:$B$6,2,FALSE)</f>
        <v>7307.3069999999989</v>
      </c>
      <c r="G13" s="2">
        <f>VLOOKUP(B13,YearMap!$A$2:$C$6,3,FALSE)</f>
        <v>804847.67099999997</v>
      </c>
      <c r="H13" s="2">
        <f>VLOOKUP(B13,YearMap!$A$2:$D$6,4,FALSE)</f>
        <v>926984.08799999999</v>
      </c>
      <c r="I13" t="str">
        <f t="shared" si="1"/>
        <v>E_StatusQuo_Targets_0|FY2027</v>
      </c>
    </row>
    <row r="14" spans="1:9" x14ac:dyDescent="0.35">
      <c r="A14" t="str">
        <f>A3</f>
        <v>E_StatusQuo_Targets_0</v>
      </c>
      <c r="B14" t="s">
        <v>46</v>
      </c>
      <c r="C14">
        <f>IF(D3=1,0, BaselineCalc!$B$7 + ROUND(C3*F3,0))</f>
        <v>257</v>
      </c>
      <c r="D14">
        <f>IF(E3=1,0, BaselineCalc!$B$8 + C3 - ROUND(C3*F3,0))</f>
        <v>296</v>
      </c>
      <c r="E14">
        <f t="shared" si="0"/>
        <v>553</v>
      </c>
      <c r="F14" s="2">
        <f>VLOOKUP(B14,YearMap!$A$2:$B$6,2,FALSE)</f>
        <v>7489.9896749999989</v>
      </c>
      <c r="G14" s="2">
        <f>VLOOKUP(B14,YearMap!$A$2:$C$6,3,FALSE)</f>
        <v>824968.86277499993</v>
      </c>
      <c r="H14" s="2">
        <f>VLOOKUP(B14,YearMap!$A$2:$D$6,4,FALSE)</f>
        <v>950158.69019999984</v>
      </c>
      <c r="I14" t="str">
        <f t="shared" si="1"/>
        <v>E_StatusQuo_Targets_0|FY2028</v>
      </c>
    </row>
    <row r="15" spans="1:9" x14ac:dyDescent="0.35">
      <c r="A15" t="str">
        <f>A3</f>
        <v>E_StatusQuo_Targets_0</v>
      </c>
      <c r="B15" t="s">
        <v>47</v>
      </c>
      <c r="C15">
        <f>IF(D3=1,0, BaselineCalc!$B$7 + ROUND(C3*F3,0))</f>
        <v>257</v>
      </c>
      <c r="D15">
        <f>IF(E3=1,0, BaselineCalc!$B$8 + C3 - ROUND(C3*F3,0))</f>
        <v>296</v>
      </c>
      <c r="E15">
        <f t="shared" si="0"/>
        <v>553</v>
      </c>
      <c r="F15" s="2">
        <f>VLOOKUP(B15,YearMap!$A$2:$B$6,2,FALSE)</f>
        <v>7677.2394168749979</v>
      </c>
      <c r="G15" s="2">
        <f>VLOOKUP(B15,YearMap!$A$2:$C$6,3,FALSE)</f>
        <v>845593.08434437483</v>
      </c>
      <c r="H15" s="2">
        <f>VLOOKUP(B15,YearMap!$A$2:$D$6,4,FALSE)</f>
        <v>973912.65745499986</v>
      </c>
      <c r="I15" t="str">
        <f t="shared" si="1"/>
        <v>E_StatusQuo_Targets_0|FY2029</v>
      </c>
    </row>
    <row r="16" spans="1:9" x14ac:dyDescent="0.35">
      <c r="A16" t="str">
        <f>A3</f>
        <v>E_StatusQuo_Targets_0</v>
      </c>
      <c r="B16" t="s">
        <v>48</v>
      </c>
      <c r="C16">
        <f>IF(D3=1,0, BaselineCalc!$B$7 + ROUND(C3*F3,0))</f>
        <v>257</v>
      </c>
      <c r="D16">
        <f>IF(E3=1,0, BaselineCalc!$B$8 + C3 - ROUND(C3*F3,0))</f>
        <v>296</v>
      </c>
      <c r="E16">
        <f t="shared" si="0"/>
        <v>553</v>
      </c>
      <c r="F16" s="2">
        <f>VLOOKUP(B16,YearMap!$A$2:$B$6,2,FALSE)</f>
        <v>7869.1704022968725</v>
      </c>
      <c r="G16" s="2">
        <f>VLOOKUP(B16,YearMap!$A$2:$C$6,3,FALSE)</f>
        <v>866732.91145298409</v>
      </c>
      <c r="H16" s="2">
        <f>VLOOKUP(B16,YearMap!$A$2:$D$6,4,FALSE)</f>
        <v>998260.47389137466</v>
      </c>
      <c r="I16" t="str">
        <f t="shared" si="1"/>
        <v>E_StatusQuo_Targets_0|FY2030</v>
      </c>
    </row>
    <row r="17" spans="1:9" x14ac:dyDescent="0.35">
      <c r="A17" t="str">
        <f>A4</f>
        <v>F_CoLocation_Echo_0</v>
      </c>
      <c r="B17" t="s">
        <v>44</v>
      </c>
      <c r="C17">
        <f>IF(D4=1,0, BaselineCalc!$B$7 + ROUND(C4*F4,0))</f>
        <v>257</v>
      </c>
      <c r="D17">
        <f>IF(E4=1,0, BaselineCalc!$B$8 + C4 - ROUND(C4*F4,0))</f>
        <v>296</v>
      </c>
      <c r="E17">
        <f t="shared" si="0"/>
        <v>553</v>
      </c>
      <c r="F17" s="2">
        <f>VLOOKUP(B17,YearMap!$A$2:$B$6,2,FALSE)</f>
        <v>7129.079999999999</v>
      </c>
      <c r="G17" s="2">
        <f>VLOOKUP(B17,YearMap!$A$2:$C$6,3,FALSE)</f>
        <v>785217.23999999987</v>
      </c>
      <c r="H17" s="2">
        <f>VLOOKUP(B17,YearMap!$A$2:$D$6,4,FALSE)</f>
        <v>904374.71999999986</v>
      </c>
      <c r="I17" t="str">
        <f t="shared" si="1"/>
        <v>F_CoLocation_Echo_0|FY2026</v>
      </c>
    </row>
    <row r="18" spans="1:9" x14ac:dyDescent="0.35">
      <c r="A18" t="str">
        <f>A4</f>
        <v>F_CoLocation_Echo_0</v>
      </c>
      <c r="B18" t="s">
        <v>45</v>
      </c>
      <c r="C18">
        <f>IF(D4=1,0, BaselineCalc!$B$7 + ROUND(C4*F4,0))</f>
        <v>257</v>
      </c>
      <c r="D18">
        <f>IF(E4=1,0, BaselineCalc!$B$8 + C4 - ROUND(C4*F4,0))</f>
        <v>296</v>
      </c>
      <c r="E18">
        <f t="shared" si="0"/>
        <v>553</v>
      </c>
      <c r="F18" s="2">
        <f>VLOOKUP(B18,YearMap!$A$2:$B$6,2,FALSE)</f>
        <v>7307.3069999999989</v>
      </c>
      <c r="G18" s="2">
        <f>VLOOKUP(B18,YearMap!$A$2:$C$6,3,FALSE)</f>
        <v>804847.67099999997</v>
      </c>
      <c r="H18" s="2">
        <f>VLOOKUP(B18,YearMap!$A$2:$D$6,4,FALSE)</f>
        <v>926984.08799999999</v>
      </c>
      <c r="I18" t="str">
        <f t="shared" si="1"/>
        <v>F_CoLocation_Echo_0|FY2027</v>
      </c>
    </row>
    <row r="19" spans="1:9" x14ac:dyDescent="0.35">
      <c r="A19" t="str">
        <f>A4</f>
        <v>F_CoLocation_Echo_0</v>
      </c>
      <c r="B19" t="s">
        <v>46</v>
      </c>
      <c r="C19">
        <f>IF(D4=1,0, BaselineCalc!$B$7 + ROUND(C4*F4,0))</f>
        <v>257</v>
      </c>
      <c r="D19">
        <f>IF(E4=1,0, BaselineCalc!$B$8 + C4 - ROUND(C4*F4,0))</f>
        <v>296</v>
      </c>
      <c r="E19">
        <f t="shared" si="0"/>
        <v>553</v>
      </c>
      <c r="F19" s="2">
        <f>VLOOKUP(B19,YearMap!$A$2:$B$6,2,FALSE)</f>
        <v>7489.9896749999989</v>
      </c>
      <c r="G19" s="2">
        <f>VLOOKUP(B19,YearMap!$A$2:$C$6,3,FALSE)</f>
        <v>824968.86277499993</v>
      </c>
      <c r="H19" s="2">
        <f>VLOOKUP(B19,YearMap!$A$2:$D$6,4,FALSE)</f>
        <v>950158.69019999984</v>
      </c>
      <c r="I19" t="str">
        <f t="shared" si="1"/>
        <v>F_CoLocation_Echo_0|FY2028</v>
      </c>
    </row>
    <row r="20" spans="1:9" x14ac:dyDescent="0.35">
      <c r="A20" t="str">
        <f>A4</f>
        <v>F_CoLocation_Echo_0</v>
      </c>
      <c r="B20" t="s">
        <v>47</v>
      </c>
      <c r="C20">
        <f>IF(D4=1,0, BaselineCalc!$B$7 + ROUND(C4*F4,0))</f>
        <v>257</v>
      </c>
      <c r="D20">
        <f>IF(E4=1,0, BaselineCalc!$B$8 + C4 - ROUND(C4*F4,0))</f>
        <v>296</v>
      </c>
      <c r="E20">
        <f t="shared" si="0"/>
        <v>553</v>
      </c>
      <c r="F20" s="2">
        <f>VLOOKUP(B20,YearMap!$A$2:$B$6,2,FALSE)</f>
        <v>7677.2394168749979</v>
      </c>
      <c r="G20" s="2">
        <f>VLOOKUP(B20,YearMap!$A$2:$C$6,3,FALSE)</f>
        <v>845593.08434437483</v>
      </c>
      <c r="H20" s="2">
        <f>VLOOKUP(B20,YearMap!$A$2:$D$6,4,FALSE)</f>
        <v>973912.65745499986</v>
      </c>
      <c r="I20" t="str">
        <f t="shared" si="1"/>
        <v>F_CoLocation_Echo_0|FY2029</v>
      </c>
    </row>
    <row r="21" spans="1:9" x14ac:dyDescent="0.35">
      <c r="A21" t="str">
        <f>A4</f>
        <v>F_CoLocation_Echo_0</v>
      </c>
      <c r="B21" t="s">
        <v>48</v>
      </c>
      <c r="C21">
        <f>IF(D4=1,0, BaselineCalc!$B$7 + ROUND(C4*F4,0))</f>
        <v>257</v>
      </c>
      <c r="D21">
        <f>IF(E4=1,0, BaselineCalc!$B$8 + C4 - ROUND(C4*F4,0))</f>
        <v>296</v>
      </c>
      <c r="E21">
        <f t="shared" si="0"/>
        <v>553</v>
      </c>
      <c r="F21" s="2">
        <f>VLOOKUP(B21,YearMap!$A$2:$B$6,2,FALSE)</f>
        <v>7869.1704022968725</v>
      </c>
      <c r="G21" s="2">
        <f>VLOOKUP(B21,YearMap!$A$2:$C$6,3,FALSE)</f>
        <v>866732.91145298409</v>
      </c>
      <c r="H21" s="2">
        <f>VLOOKUP(B21,YearMap!$A$2:$D$6,4,FALSE)</f>
        <v>998260.47389137466</v>
      </c>
      <c r="I21" t="str">
        <f t="shared" si="1"/>
        <v>F_CoLocation_Echo_0|FY2030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A17" sqref="A17"/>
    </sheetView>
  </sheetViews>
  <sheetFormatPr defaultRowHeight="14.5" x14ac:dyDescent="0.35"/>
  <sheetData>
    <row r="1" spans="1:2" x14ac:dyDescent="0.35">
      <c r="A1" s="5" t="s">
        <v>49</v>
      </c>
    </row>
    <row r="2" spans="1:2" x14ac:dyDescent="0.35">
      <c r="B2" s="5" t="s">
        <v>50</v>
      </c>
    </row>
    <row r="3" spans="1:2" x14ac:dyDescent="0.35">
      <c r="B3" t="s">
        <v>51</v>
      </c>
    </row>
    <row r="5" spans="1:2" x14ac:dyDescent="0.35">
      <c r="B5" s="5" t="s">
        <v>52</v>
      </c>
    </row>
    <row r="6" spans="1:2" x14ac:dyDescent="0.35">
      <c r="B6" t="s">
        <v>53</v>
      </c>
    </row>
    <row r="8" spans="1:2" x14ac:dyDescent="0.35">
      <c r="B8" s="5" t="s">
        <v>54</v>
      </c>
    </row>
    <row r="9" spans="1:2" x14ac:dyDescent="0.35">
      <c r="B9" t="s">
        <v>55</v>
      </c>
    </row>
    <row r="11" spans="1:2" x14ac:dyDescent="0.35">
      <c r="B11" s="5" t="s">
        <v>56</v>
      </c>
    </row>
    <row r="12" spans="1:2" x14ac:dyDescent="0.35">
      <c r="B12" t="s">
        <v>57</v>
      </c>
    </row>
    <row r="17" spans="1:2" x14ac:dyDescent="0.35">
      <c r="A17" s="5" t="s">
        <v>58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BaselineCalc</vt:lpstr>
      <vt:lpstr>YearMap</vt:lpstr>
      <vt:lpstr>Scenarios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2025-10-22T00:04:05Z</dcterms:modified>
</cp:coreProperties>
</file>