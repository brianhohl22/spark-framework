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380" documentId="11_B64FA6DD730034274D08421C1EF2733271FCFB01" xr6:coauthVersionLast="47" xr6:coauthVersionMax="47" xr10:uidLastSave="{9AEE46C0-CD5C-48DD-B163-FEC344E92A1E}"/>
  <bookViews>
    <workbookView xWindow="-110" yWindow="-110" windowWidth="19420" windowHeight="10300" activeTab="2" xr2:uid="{00000000-000D-0000-FFFF-FFFF00000000}"/>
  </bookViews>
  <sheets>
    <sheet name="Workbook_Purpose_Overview" sheetId="1" r:id="rId1"/>
    <sheet name="How_To_Use_The_Workbook" sheetId="2" r:id="rId2"/>
    <sheet name="Headline_Numbers" sheetId="3" r:id="rId3"/>
    <sheet name="Dashboard" sheetId="4" r:id="rId4"/>
    <sheet name="Working_test" sheetId="5" r:id="rId5"/>
    <sheet name="Scenario_Comparison" sheetId="6" r:id="rId6"/>
    <sheet name="Budget_Neutral_Calculator" sheetId="7" r:id="rId7"/>
    <sheet name="Summary_Figures" sheetId="8" r:id="rId8"/>
    <sheet name="What_Is_The_$900K-$1M_Savings" sheetId="9" r:id="rId9"/>
    <sheet name="Parameters_Public" sheetId="10" r:id="rId10"/>
    <sheet name="Inputs_Definitions_Sources" sheetId="11" r:id="rId11"/>
    <sheet name="Scenarios" sheetId="12" r:id="rId12"/>
    <sheet name="MultiYear_ProForma" sheetId="13" r:id="rId13"/>
    <sheet name="Capital_Summary" sheetId="14" r:id="rId14"/>
    <sheet name="Receiving_Capacity" sheetId="15" r:id="rId15"/>
    <sheet name="Control_Center" sheetId="16" r:id="rId16"/>
    <sheet name="BaselineCalc" sheetId="17" r:id="rId17"/>
    <sheet name="YearMap" sheetId="18" r:id="rId18"/>
    <sheet name="Site_Fixed" sheetId="19" r:id="rId19"/>
    <sheet name="QA_Checks" sheetId="20" r:id="rId20"/>
    <sheet name="Parameters_Map" sheetId="21" r:id="rId21"/>
    <sheet name="Lease_Avoidance" sheetId="22" r:id="rId22"/>
    <sheet name="Pre_K" sheetId="23" r:id="rId23"/>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3" l="1"/>
  <c r="J8" i="3"/>
  <c r="I9" i="3"/>
  <c r="I8" i="3"/>
  <c r="C9" i="3"/>
  <c r="F9" i="3"/>
  <c r="F8" i="3"/>
  <c r="C8" i="3"/>
  <c r="H9" i="3"/>
  <c r="H8" i="3"/>
  <c r="G9" i="3"/>
  <c r="G8" i="3"/>
  <c r="E9" i="3"/>
  <c r="E8" i="3"/>
  <c r="D9" i="3"/>
  <c r="D8" i="3"/>
  <c r="J19" i="3"/>
  <c r="I19" i="3"/>
  <c r="H19" i="3"/>
  <c r="G19" i="3"/>
  <c r="F19" i="3"/>
  <c r="E19" i="3"/>
  <c r="D19" i="3"/>
  <c r="C19" i="3"/>
  <c r="G16" i="3"/>
  <c r="G15" i="3"/>
  <c r="G14" i="3"/>
  <c r="H16" i="3"/>
  <c r="H15" i="3"/>
  <c r="H14" i="3"/>
  <c r="I16" i="3"/>
  <c r="I15" i="3"/>
  <c r="I14" i="3"/>
  <c r="F16" i="3"/>
  <c r="F15" i="3"/>
  <c r="F14" i="3"/>
  <c r="G4" i="3"/>
  <c r="G11" i="3" s="1"/>
  <c r="F4" i="3"/>
  <c r="I4" i="3"/>
  <c r="I11" i="3" s="1"/>
  <c r="H4" i="3"/>
  <c r="H11" i="3" s="1"/>
  <c r="J16" i="3"/>
  <c r="J15" i="3"/>
  <c r="J14" i="3"/>
  <c r="J4" i="3"/>
  <c r="J11" i="3" s="1"/>
  <c r="B14" i="23"/>
  <c r="B13" i="23"/>
  <c r="B12" i="23"/>
  <c r="B11" i="23"/>
  <c r="B9" i="23"/>
  <c r="B8" i="23"/>
  <c r="B7" i="23"/>
  <c r="B6" i="23"/>
  <c r="B5" i="23"/>
  <c r="B4" i="23"/>
  <c r="B13" i="22"/>
  <c r="B12" i="22"/>
  <c r="F9" i="22"/>
  <c r="E9" i="22"/>
  <c r="D9" i="22"/>
  <c r="C9" i="22"/>
  <c r="B9" i="22"/>
  <c r="B6" i="22"/>
  <c r="B5" i="22"/>
  <c r="B4" i="22"/>
  <c r="B3" i="22"/>
  <c r="D17" i="19"/>
  <c r="D10" i="19"/>
  <c r="B14" i="17" s="1"/>
  <c r="D17" i="17" s="1"/>
  <c r="E14" i="17" s="1"/>
  <c r="E13" i="17" s="1"/>
  <c r="P6" i="18"/>
  <c r="R6" i="18" s="1"/>
  <c r="E6" i="18"/>
  <c r="Q6" i="18" s="1"/>
  <c r="Q5" i="18"/>
  <c r="P5" i="18"/>
  <c r="R5" i="18" s="1"/>
  <c r="E5" i="18"/>
  <c r="Q4" i="18"/>
  <c r="P4" i="18"/>
  <c r="R4" i="18" s="1"/>
  <c r="E4" i="18"/>
  <c r="Q3" i="18"/>
  <c r="P3" i="18"/>
  <c r="R3" i="18" s="1"/>
  <c r="E3" i="18"/>
  <c r="Q2" i="18"/>
  <c r="P2" i="18"/>
  <c r="R2" i="18" s="1"/>
  <c r="E2" i="18"/>
  <c r="B28" i="17"/>
  <c r="B27" i="17"/>
  <c r="B23" i="17"/>
  <c r="B22" i="17"/>
  <c r="B6" i="17"/>
  <c r="B5" i="17"/>
  <c r="B4" i="17"/>
  <c r="B3" i="17"/>
  <c r="B2" i="17"/>
  <c r="C17" i="16"/>
  <c r="C14" i="16"/>
  <c r="D18" i="15"/>
  <c r="H16" i="15"/>
  <c r="G16" i="15"/>
  <c r="C16" i="15"/>
  <c r="B16" i="15"/>
  <c r="A16" i="15"/>
  <c r="H15" i="15"/>
  <c r="G15" i="15"/>
  <c r="A15" i="15"/>
  <c r="H14" i="15"/>
  <c r="G14" i="15"/>
  <c r="A14" i="15"/>
  <c r="H13" i="15"/>
  <c r="G13" i="15"/>
  <c r="A13" i="15"/>
  <c r="H12" i="15"/>
  <c r="G12" i="15"/>
  <c r="C12" i="15"/>
  <c r="B12" i="15"/>
  <c r="A12" i="15"/>
  <c r="H11" i="15"/>
  <c r="G11" i="15"/>
  <c r="A11" i="15"/>
  <c r="H10" i="15"/>
  <c r="G10" i="15"/>
  <c r="C10" i="15"/>
  <c r="B10" i="15"/>
  <c r="A10" i="15"/>
  <c r="H9" i="15"/>
  <c r="G9" i="15"/>
  <c r="C9" i="15"/>
  <c r="B9" i="15"/>
  <c r="A9" i="15"/>
  <c r="H8" i="15"/>
  <c r="G8" i="15"/>
  <c r="C8" i="15"/>
  <c r="B8" i="15"/>
  <c r="A8" i="15"/>
  <c r="H7" i="15"/>
  <c r="G7" i="15"/>
  <c r="A7" i="15"/>
  <c r="H6" i="15"/>
  <c r="G6" i="15"/>
  <c r="A6" i="15"/>
  <c r="H5" i="15"/>
  <c r="G5" i="15"/>
  <c r="B5" i="15"/>
  <c r="A5" i="15"/>
  <c r="H4" i="15"/>
  <c r="G4" i="15"/>
  <c r="C4" i="15"/>
  <c r="B4" i="15"/>
  <c r="A4" i="15"/>
  <c r="G68" i="14"/>
  <c r="F68" i="14"/>
  <c r="E68" i="14"/>
  <c r="D68" i="14"/>
  <c r="A68" i="14"/>
  <c r="C68" i="14" s="1"/>
  <c r="G67" i="14"/>
  <c r="F67" i="14"/>
  <c r="E67" i="14"/>
  <c r="D67" i="14"/>
  <c r="C67" i="14"/>
  <c r="A67" i="14"/>
  <c r="G66" i="14"/>
  <c r="F66" i="14"/>
  <c r="E66" i="14"/>
  <c r="D66" i="14"/>
  <c r="C66" i="14"/>
  <c r="A66" i="14"/>
  <c r="G65" i="14"/>
  <c r="F65" i="14"/>
  <c r="E65" i="14"/>
  <c r="D65" i="14"/>
  <c r="C65" i="14"/>
  <c r="A65" i="14"/>
  <c r="A64" i="14"/>
  <c r="G63" i="14"/>
  <c r="F63" i="14"/>
  <c r="E63" i="14"/>
  <c r="D63" i="14"/>
  <c r="C63" i="14"/>
  <c r="A63" i="14"/>
  <c r="G62" i="14"/>
  <c r="F62" i="14"/>
  <c r="E62" i="14"/>
  <c r="D62" i="14"/>
  <c r="C62" i="14"/>
  <c r="A62" i="14"/>
  <c r="G61" i="14"/>
  <c r="F61" i="14"/>
  <c r="E61" i="14"/>
  <c r="D61" i="14"/>
  <c r="A61" i="14"/>
  <c r="C61" i="14" s="1"/>
  <c r="G60" i="14"/>
  <c r="F60" i="14"/>
  <c r="E60" i="14"/>
  <c r="D60" i="14"/>
  <c r="A60" i="14"/>
  <c r="C60" i="14" s="1"/>
  <c r="F59" i="14"/>
  <c r="E59" i="14"/>
  <c r="C59" i="14"/>
  <c r="D59" i="14" s="1"/>
  <c r="A59" i="14"/>
  <c r="G58" i="14"/>
  <c r="F58" i="14"/>
  <c r="E58" i="14"/>
  <c r="D58" i="14"/>
  <c r="C58" i="14"/>
  <c r="A58" i="14"/>
  <c r="G57" i="14"/>
  <c r="F57" i="14"/>
  <c r="E57" i="14"/>
  <c r="D57" i="14"/>
  <c r="C57" i="14"/>
  <c r="A57" i="14"/>
  <c r="G56" i="14"/>
  <c r="F56" i="14"/>
  <c r="E56" i="14"/>
  <c r="D56" i="14"/>
  <c r="A56" i="14"/>
  <c r="C56" i="14" s="1"/>
  <c r="G55" i="14"/>
  <c r="F55" i="14"/>
  <c r="E55" i="14"/>
  <c r="D55" i="14"/>
  <c r="C55" i="14"/>
  <c r="A55" i="14"/>
  <c r="C54" i="14"/>
  <c r="D54" i="14" s="1"/>
  <c r="A54" i="14"/>
  <c r="G53" i="14"/>
  <c r="F53" i="14"/>
  <c r="E53" i="14"/>
  <c r="D53" i="14"/>
  <c r="C53" i="14"/>
  <c r="A53" i="14"/>
  <c r="G52" i="14"/>
  <c r="F52" i="14"/>
  <c r="E52" i="14"/>
  <c r="D52" i="14"/>
  <c r="A52" i="14"/>
  <c r="C52" i="14" s="1"/>
  <c r="G51" i="14"/>
  <c r="F51" i="14"/>
  <c r="E51" i="14"/>
  <c r="D51" i="14"/>
  <c r="H51" i="14" s="1"/>
  <c r="C51" i="14"/>
  <c r="A51" i="14"/>
  <c r="G50" i="14"/>
  <c r="F50" i="14"/>
  <c r="E50" i="14"/>
  <c r="D50" i="14"/>
  <c r="C50" i="14"/>
  <c r="A50" i="14"/>
  <c r="F49" i="14"/>
  <c r="E49" i="14"/>
  <c r="C49" i="14"/>
  <c r="D49" i="14" s="1"/>
  <c r="A49" i="14"/>
  <c r="G48" i="14"/>
  <c r="F48" i="14"/>
  <c r="E48" i="14"/>
  <c r="D48" i="14"/>
  <c r="A48" i="14"/>
  <c r="C48" i="14" s="1"/>
  <c r="G47" i="14"/>
  <c r="F47" i="14"/>
  <c r="E47" i="14"/>
  <c r="D47" i="14"/>
  <c r="A47" i="14"/>
  <c r="C47" i="14" s="1"/>
  <c r="G46" i="14"/>
  <c r="F46" i="14"/>
  <c r="E46" i="14"/>
  <c r="D46" i="14"/>
  <c r="C46" i="14"/>
  <c r="A46" i="14"/>
  <c r="G45" i="14"/>
  <c r="F45" i="14"/>
  <c r="E45" i="14"/>
  <c r="D45" i="14"/>
  <c r="C45" i="14"/>
  <c r="A45" i="14"/>
  <c r="F44" i="14"/>
  <c r="E44" i="14"/>
  <c r="A44" i="14"/>
  <c r="C44" i="14" s="1"/>
  <c r="D44" i="14" s="1"/>
  <c r="G43" i="14"/>
  <c r="F43" i="14"/>
  <c r="E43" i="14"/>
  <c r="D43" i="14"/>
  <c r="C43" i="14"/>
  <c r="A43" i="14"/>
  <c r="G42" i="14"/>
  <c r="F42" i="14"/>
  <c r="E42" i="14"/>
  <c r="D42" i="14"/>
  <c r="C42" i="14"/>
  <c r="A42" i="14"/>
  <c r="G41" i="14"/>
  <c r="F41" i="14"/>
  <c r="E41" i="14"/>
  <c r="D41" i="14"/>
  <c r="A41" i="14"/>
  <c r="C41" i="14" s="1"/>
  <c r="G40" i="14"/>
  <c r="F40" i="14"/>
  <c r="E40" i="14"/>
  <c r="D40" i="14"/>
  <c r="C40" i="14"/>
  <c r="A40" i="14"/>
  <c r="E39" i="14"/>
  <c r="A39" i="14"/>
  <c r="G38" i="14"/>
  <c r="F38" i="14"/>
  <c r="E38" i="14"/>
  <c r="D38" i="14"/>
  <c r="A38" i="14"/>
  <c r="C38" i="14" s="1"/>
  <c r="G37" i="14"/>
  <c r="F37" i="14"/>
  <c r="E37" i="14"/>
  <c r="D37" i="14"/>
  <c r="C37" i="14"/>
  <c r="A37" i="14"/>
  <c r="G36" i="14"/>
  <c r="F36" i="14"/>
  <c r="E36" i="14"/>
  <c r="D36" i="14"/>
  <c r="A36" i="14"/>
  <c r="C36" i="14" s="1"/>
  <c r="G35" i="14"/>
  <c r="F35" i="14"/>
  <c r="E35" i="14"/>
  <c r="D35" i="14"/>
  <c r="C35" i="14"/>
  <c r="A35" i="14"/>
  <c r="F34" i="14"/>
  <c r="E34" i="14"/>
  <c r="C34" i="14"/>
  <c r="D34" i="14" s="1"/>
  <c r="A34" i="14"/>
  <c r="G33" i="14"/>
  <c r="F33" i="14"/>
  <c r="E33" i="14"/>
  <c r="D33" i="14"/>
  <c r="A33" i="14"/>
  <c r="C33" i="14" s="1"/>
  <c r="G32" i="14"/>
  <c r="F32" i="14"/>
  <c r="E32" i="14"/>
  <c r="D32" i="14"/>
  <c r="A32" i="14"/>
  <c r="C32" i="14" s="1"/>
  <c r="G31" i="14"/>
  <c r="F31" i="14"/>
  <c r="E31" i="14"/>
  <c r="D31" i="14"/>
  <c r="C31" i="14"/>
  <c r="A31" i="14"/>
  <c r="G30" i="14"/>
  <c r="F30" i="14"/>
  <c r="E30" i="14"/>
  <c r="D30" i="14"/>
  <c r="C30" i="14"/>
  <c r="A30" i="14"/>
  <c r="A71" i="14" s="1" a="1"/>
  <c r="F29" i="14"/>
  <c r="E29" i="14"/>
  <c r="A29" i="14"/>
  <c r="C29" i="14" s="1"/>
  <c r="D29" i="14" s="1"/>
  <c r="G28" i="14"/>
  <c r="F28" i="14"/>
  <c r="E28" i="14"/>
  <c r="D28" i="14"/>
  <c r="A28" i="14"/>
  <c r="C28" i="14" s="1"/>
  <c r="G27" i="14"/>
  <c r="F27" i="14"/>
  <c r="E27" i="14"/>
  <c r="D27" i="14"/>
  <c r="C27" i="14"/>
  <c r="A27" i="14"/>
  <c r="G26" i="14"/>
  <c r="F26" i="14"/>
  <c r="E26" i="14"/>
  <c r="D26" i="14"/>
  <c r="A26" i="14"/>
  <c r="C26" i="14" s="1"/>
  <c r="G25" i="14"/>
  <c r="F25" i="14"/>
  <c r="E25" i="14"/>
  <c r="D25" i="14"/>
  <c r="A25" i="14"/>
  <c r="C25" i="14" s="1"/>
  <c r="F24" i="14"/>
  <c r="E24" i="14"/>
  <c r="A24" i="14"/>
  <c r="G23" i="14"/>
  <c r="F23" i="14"/>
  <c r="E23" i="14"/>
  <c r="D23" i="14"/>
  <c r="C23" i="14"/>
  <c r="A23" i="14"/>
  <c r="G22" i="14"/>
  <c r="F22" i="14"/>
  <c r="E22" i="14"/>
  <c r="D22" i="14"/>
  <c r="A22" i="14"/>
  <c r="C22" i="14" s="1"/>
  <c r="G21" i="14"/>
  <c r="F21" i="14"/>
  <c r="E21" i="14"/>
  <c r="D21" i="14"/>
  <c r="A21" i="14"/>
  <c r="C21" i="14" s="1"/>
  <c r="G20" i="14"/>
  <c r="F20" i="14"/>
  <c r="E20" i="14"/>
  <c r="D20" i="14"/>
  <c r="A20" i="14"/>
  <c r="C20" i="14" s="1"/>
  <c r="F19" i="14"/>
  <c r="E19" i="14"/>
  <c r="C19" i="14"/>
  <c r="D19" i="14" s="1"/>
  <c r="A19" i="14"/>
  <c r="G18" i="14"/>
  <c r="F18" i="14"/>
  <c r="E18" i="14"/>
  <c r="D18" i="14"/>
  <c r="A18" i="14"/>
  <c r="C18" i="14" s="1"/>
  <c r="G17" i="14"/>
  <c r="F17" i="14"/>
  <c r="E17" i="14"/>
  <c r="D17" i="14"/>
  <c r="C17" i="14"/>
  <c r="A17" i="14"/>
  <c r="G16" i="14"/>
  <c r="F16" i="14"/>
  <c r="E16" i="14"/>
  <c r="D16" i="14"/>
  <c r="A16" i="14"/>
  <c r="C16" i="14" s="1"/>
  <c r="G15" i="14"/>
  <c r="F15" i="14"/>
  <c r="E15" i="14"/>
  <c r="D15" i="14"/>
  <c r="A15" i="14"/>
  <c r="C15" i="14" s="1"/>
  <c r="C14" i="14"/>
  <c r="D14" i="14" s="1"/>
  <c r="A14" i="14"/>
  <c r="E14" i="14" s="1"/>
  <c r="G13" i="14"/>
  <c r="F13" i="14"/>
  <c r="E13" i="14"/>
  <c r="D13" i="14"/>
  <c r="A13" i="14"/>
  <c r="C13" i="14" s="1"/>
  <c r="G12" i="14"/>
  <c r="F12" i="14"/>
  <c r="E12" i="14"/>
  <c r="D12" i="14"/>
  <c r="A12" i="14"/>
  <c r="C12" i="14" s="1"/>
  <c r="G11" i="14"/>
  <c r="F11" i="14"/>
  <c r="E11" i="14"/>
  <c r="D11" i="14"/>
  <c r="C11" i="14"/>
  <c r="A11" i="14"/>
  <c r="G10" i="14"/>
  <c r="F10" i="14"/>
  <c r="E10" i="14"/>
  <c r="D10" i="14"/>
  <c r="C10" i="14"/>
  <c r="A10" i="14"/>
  <c r="E9" i="14"/>
  <c r="A9" i="14"/>
  <c r="G8" i="14"/>
  <c r="F8" i="14"/>
  <c r="E8" i="14"/>
  <c r="D8" i="14"/>
  <c r="C8" i="14"/>
  <c r="A8" i="14"/>
  <c r="G7" i="14"/>
  <c r="F7" i="14"/>
  <c r="E7" i="14"/>
  <c r="D7" i="14"/>
  <c r="C7" i="14"/>
  <c r="A7" i="14"/>
  <c r="G6" i="14"/>
  <c r="F6" i="14"/>
  <c r="E6" i="14"/>
  <c r="D6" i="14"/>
  <c r="A6" i="14"/>
  <c r="C6" i="14" s="1"/>
  <c r="G5" i="14"/>
  <c r="F5" i="14"/>
  <c r="E5" i="14"/>
  <c r="D5" i="14"/>
  <c r="A5" i="14"/>
  <c r="C5" i="14" s="1"/>
  <c r="A4" i="14"/>
  <c r="AG66" i="13"/>
  <c r="A66" i="13" s="1"/>
  <c r="T66" i="13"/>
  <c r="Q66" i="13"/>
  <c r="P66" i="13"/>
  <c r="K66" i="13"/>
  <c r="J66" i="13"/>
  <c r="B66" i="13"/>
  <c r="AG65" i="13"/>
  <c r="T65" i="13"/>
  <c r="Q65" i="13"/>
  <c r="P65" i="13"/>
  <c r="K65" i="13"/>
  <c r="J65" i="13"/>
  <c r="B65" i="13"/>
  <c r="A65" i="13"/>
  <c r="AG64" i="13"/>
  <c r="A64" i="13" s="1"/>
  <c r="T64" i="13"/>
  <c r="Q64" i="13"/>
  <c r="P64" i="13"/>
  <c r="K64" i="13"/>
  <c r="J64" i="13"/>
  <c r="B64" i="13"/>
  <c r="AG63" i="13"/>
  <c r="T63" i="13"/>
  <c r="Q63" i="13"/>
  <c r="P63" i="13"/>
  <c r="K63" i="13"/>
  <c r="J63" i="13"/>
  <c r="B63" i="13"/>
  <c r="A63" i="13"/>
  <c r="AG62" i="13"/>
  <c r="A62" i="13" s="1"/>
  <c r="T62" i="13"/>
  <c r="Q62" i="13"/>
  <c r="P62" i="13"/>
  <c r="K62" i="13"/>
  <c r="J62" i="13"/>
  <c r="B62" i="13"/>
  <c r="AG61" i="13"/>
  <c r="T61" i="13"/>
  <c r="Q61" i="13"/>
  <c r="P61" i="13"/>
  <c r="K61" i="13"/>
  <c r="J61" i="13"/>
  <c r="E61" i="13"/>
  <c r="B61" i="13"/>
  <c r="A61" i="13"/>
  <c r="AG60" i="13"/>
  <c r="A60" i="13" s="1"/>
  <c r="T60" i="13"/>
  <c r="Q60" i="13"/>
  <c r="P60" i="13"/>
  <c r="K60" i="13"/>
  <c r="J60" i="13"/>
  <c r="E60" i="13"/>
  <c r="B60" i="13"/>
  <c r="AG59" i="13"/>
  <c r="A59" i="13" s="1"/>
  <c r="T59" i="13"/>
  <c r="Q59" i="13"/>
  <c r="P59" i="13"/>
  <c r="K59" i="13"/>
  <c r="J59" i="13"/>
  <c r="E59" i="13"/>
  <c r="B59" i="13"/>
  <c r="AG58" i="13"/>
  <c r="A58" i="13" s="1"/>
  <c r="T58" i="13"/>
  <c r="Q58" i="13"/>
  <c r="P58" i="13"/>
  <c r="K58" i="13"/>
  <c r="J58" i="13"/>
  <c r="E58" i="13"/>
  <c r="B58" i="13"/>
  <c r="AG57" i="13"/>
  <c r="T57" i="13"/>
  <c r="Q57" i="13"/>
  <c r="P57" i="13"/>
  <c r="K57" i="13"/>
  <c r="J57" i="13"/>
  <c r="E57" i="13"/>
  <c r="B57" i="13"/>
  <c r="A57" i="13"/>
  <c r="AG56" i="13"/>
  <c r="A56" i="13" s="1"/>
  <c r="T56" i="13"/>
  <c r="Q56" i="13"/>
  <c r="P56" i="13"/>
  <c r="K56" i="13"/>
  <c r="J56" i="13"/>
  <c r="E56" i="13"/>
  <c r="B56" i="13"/>
  <c r="AG55" i="13"/>
  <c r="A55" i="13" s="1"/>
  <c r="T55" i="13"/>
  <c r="Q55" i="13"/>
  <c r="P55" i="13"/>
  <c r="K55" i="13"/>
  <c r="J55" i="13"/>
  <c r="E55" i="13"/>
  <c r="B55" i="13"/>
  <c r="AG54" i="13"/>
  <c r="T54" i="13"/>
  <c r="Q54" i="13"/>
  <c r="P54" i="13"/>
  <c r="K54" i="13"/>
  <c r="J54" i="13"/>
  <c r="E54" i="13"/>
  <c r="B54" i="13"/>
  <c r="A54" i="13"/>
  <c r="AG53" i="13"/>
  <c r="A53" i="13" s="1"/>
  <c r="T53" i="13"/>
  <c r="Q53" i="13"/>
  <c r="P53" i="13"/>
  <c r="K53" i="13"/>
  <c r="J53" i="13"/>
  <c r="E53" i="13"/>
  <c r="B53" i="13"/>
  <c r="AG52" i="13"/>
  <c r="A52" i="13" s="1"/>
  <c r="T52" i="13"/>
  <c r="Q52" i="13"/>
  <c r="P52" i="13"/>
  <c r="K52" i="13"/>
  <c r="J52" i="13"/>
  <c r="E52" i="13"/>
  <c r="B52" i="13"/>
  <c r="AG51" i="13"/>
  <c r="T51" i="13"/>
  <c r="Q51" i="13"/>
  <c r="P51" i="13"/>
  <c r="K51" i="13"/>
  <c r="J51" i="13"/>
  <c r="D51" i="13"/>
  <c r="B51" i="13"/>
  <c r="A51" i="13"/>
  <c r="AG50" i="13"/>
  <c r="T50" i="13"/>
  <c r="Q50" i="13"/>
  <c r="P50" i="13"/>
  <c r="K50" i="13"/>
  <c r="J50" i="13"/>
  <c r="D50" i="13"/>
  <c r="B50" i="13"/>
  <c r="A50" i="13"/>
  <c r="AG49" i="13"/>
  <c r="A49" i="13" s="1"/>
  <c r="T49" i="13"/>
  <c r="Q49" i="13"/>
  <c r="P49" i="13"/>
  <c r="K49" i="13"/>
  <c r="J49" i="13"/>
  <c r="D49" i="13"/>
  <c r="B49" i="13"/>
  <c r="T48" i="13"/>
  <c r="Q48" i="13"/>
  <c r="P48" i="13"/>
  <c r="K48" i="13"/>
  <c r="J48" i="13"/>
  <c r="D48" i="13"/>
  <c r="B48" i="13"/>
  <c r="AG48" i="13" s="1"/>
  <c r="A48" i="13" s="1"/>
  <c r="T47" i="13"/>
  <c r="Q47" i="13"/>
  <c r="P47" i="13"/>
  <c r="K47" i="13"/>
  <c r="J47" i="13"/>
  <c r="D47" i="13"/>
  <c r="B47" i="13"/>
  <c r="AG47" i="13" s="1"/>
  <c r="A47" i="13" s="1"/>
  <c r="T46" i="13"/>
  <c r="Q46" i="13"/>
  <c r="P46" i="13"/>
  <c r="K46" i="13"/>
  <c r="J46" i="13"/>
  <c r="D46" i="13"/>
  <c r="B46" i="13"/>
  <c r="AG46" i="13" s="1"/>
  <c r="A46" i="13"/>
  <c r="AG45" i="13"/>
  <c r="A45" i="13" s="1"/>
  <c r="T45" i="13"/>
  <c r="Q45" i="13"/>
  <c r="P45" i="13"/>
  <c r="K45" i="13"/>
  <c r="J45" i="13"/>
  <c r="D45" i="13"/>
  <c r="B45" i="13"/>
  <c r="T44" i="13"/>
  <c r="Q44" i="13"/>
  <c r="P44" i="13"/>
  <c r="K44" i="13"/>
  <c r="J44" i="13"/>
  <c r="D44" i="13"/>
  <c r="B44" i="13"/>
  <c r="AG44" i="13" s="1"/>
  <c r="A44" i="13"/>
  <c r="T43" i="13"/>
  <c r="Q43" i="13"/>
  <c r="P43" i="13"/>
  <c r="K43" i="13"/>
  <c r="J43" i="13"/>
  <c r="D43" i="13"/>
  <c r="B43" i="13"/>
  <c r="AG43" i="13" s="1"/>
  <c r="A43" i="13" s="1"/>
  <c r="T42" i="13"/>
  <c r="Q42" i="13"/>
  <c r="P42" i="13"/>
  <c r="K42" i="13"/>
  <c r="J42" i="13"/>
  <c r="D42" i="13"/>
  <c r="B42" i="13"/>
  <c r="AG42" i="13" s="1"/>
  <c r="A42" i="13" s="1"/>
  <c r="AG41" i="13"/>
  <c r="A41" i="13" s="1"/>
  <c r="T41" i="13"/>
  <c r="Q41" i="13"/>
  <c r="P41" i="13"/>
  <c r="K41" i="13"/>
  <c r="J41" i="13"/>
  <c r="E41" i="13"/>
  <c r="D41" i="13"/>
  <c r="B41" i="13"/>
  <c r="T40" i="13"/>
  <c r="Q40" i="13"/>
  <c r="P40" i="13"/>
  <c r="K40" i="13"/>
  <c r="J40" i="13"/>
  <c r="E40" i="13"/>
  <c r="D40" i="13"/>
  <c r="F40" i="13" s="1"/>
  <c r="B40" i="13"/>
  <c r="AG40" i="13" s="1"/>
  <c r="A40" i="13"/>
  <c r="AG39" i="13"/>
  <c r="A39" i="13" s="1"/>
  <c r="T39" i="13"/>
  <c r="Q39" i="13"/>
  <c r="P39" i="13"/>
  <c r="K39" i="13"/>
  <c r="J39" i="13"/>
  <c r="E39" i="13"/>
  <c r="D39" i="13"/>
  <c r="B39" i="13"/>
  <c r="AG38" i="13"/>
  <c r="A38" i="13" s="1"/>
  <c r="T38" i="13"/>
  <c r="Q38" i="13"/>
  <c r="P38" i="13"/>
  <c r="K38" i="13"/>
  <c r="J38" i="13"/>
  <c r="E38" i="13"/>
  <c r="D38" i="13"/>
  <c r="B38" i="13"/>
  <c r="T37" i="13"/>
  <c r="Q37" i="13"/>
  <c r="P37" i="13"/>
  <c r="K37" i="13"/>
  <c r="J37" i="13"/>
  <c r="E37" i="13"/>
  <c r="D37" i="13"/>
  <c r="B37" i="13"/>
  <c r="AG37" i="13" s="1"/>
  <c r="A37" i="13" s="1"/>
  <c r="T36" i="13"/>
  <c r="Q36" i="13"/>
  <c r="P36" i="13"/>
  <c r="K36" i="13"/>
  <c r="J36" i="13"/>
  <c r="E36" i="13"/>
  <c r="D36" i="13"/>
  <c r="B36" i="13"/>
  <c r="AG36" i="13" s="1"/>
  <c r="A36" i="13" s="1"/>
  <c r="T35" i="13"/>
  <c r="Q35" i="13"/>
  <c r="P35" i="13"/>
  <c r="K35" i="13"/>
  <c r="J35" i="13"/>
  <c r="E35" i="13"/>
  <c r="D35" i="13"/>
  <c r="B35" i="13"/>
  <c r="AG35" i="13" s="1"/>
  <c r="A35" i="13" s="1"/>
  <c r="T34" i="13"/>
  <c r="Q34" i="13"/>
  <c r="P34" i="13"/>
  <c r="K34" i="13"/>
  <c r="J34" i="13"/>
  <c r="E34" i="13"/>
  <c r="D34" i="13"/>
  <c r="B34" i="13"/>
  <c r="AG34" i="13" s="1"/>
  <c r="A34" i="13" s="1"/>
  <c r="T33" i="13"/>
  <c r="Q33" i="13"/>
  <c r="P33" i="13"/>
  <c r="K33" i="13"/>
  <c r="J33" i="13"/>
  <c r="E33" i="13"/>
  <c r="D33" i="13"/>
  <c r="B33" i="13"/>
  <c r="AG33" i="13" s="1"/>
  <c r="A33" i="13" s="1"/>
  <c r="T32" i="13"/>
  <c r="Q32" i="13"/>
  <c r="P32" i="13"/>
  <c r="K32" i="13"/>
  <c r="J32" i="13"/>
  <c r="E32" i="13"/>
  <c r="D32" i="13"/>
  <c r="B32" i="13"/>
  <c r="AG32" i="13" s="1"/>
  <c r="A32" i="13" s="1"/>
  <c r="T31" i="13"/>
  <c r="Q31" i="13"/>
  <c r="P31" i="13"/>
  <c r="K31" i="13"/>
  <c r="J31" i="13"/>
  <c r="B31" i="13"/>
  <c r="AG31" i="13" s="1"/>
  <c r="A31" i="13" s="1"/>
  <c r="T30" i="13"/>
  <c r="Q30" i="13"/>
  <c r="P30" i="13"/>
  <c r="K30" i="13"/>
  <c r="J30" i="13"/>
  <c r="B30" i="13"/>
  <c r="AG30" i="13" s="1"/>
  <c r="A30" i="13" s="1"/>
  <c r="T29" i="13"/>
  <c r="Q29" i="13"/>
  <c r="P29" i="13"/>
  <c r="K29" i="13"/>
  <c r="J29" i="13"/>
  <c r="B29" i="13"/>
  <c r="AG29" i="13" s="1"/>
  <c r="A29" i="13" s="1"/>
  <c r="T28" i="13"/>
  <c r="Q28" i="13"/>
  <c r="P28" i="13"/>
  <c r="K28" i="13"/>
  <c r="J28" i="13"/>
  <c r="B28" i="13"/>
  <c r="AG28" i="13" s="1"/>
  <c r="A28" i="13" s="1"/>
  <c r="T27" i="13"/>
  <c r="Q27" i="13"/>
  <c r="P27" i="13"/>
  <c r="K27" i="13"/>
  <c r="J27" i="13"/>
  <c r="B27" i="13"/>
  <c r="AG27" i="13" s="1"/>
  <c r="A27" i="13" s="1"/>
  <c r="T26" i="13"/>
  <c r="Q26" i="13"/>
  <c r="P26" i="13"/>
  <c r="K26" i="13"/>
  <c r="J26" i="13"/>
  <c r="B26" i="13"/>
  <c r="AG26" i="13" s="1"/>
  <c r="A26" i="13" s="1"/>
  <c r="T25" i="13"/>
  <c r="Q25" i="13"/>
  <c r="P25" i="13"/>
  <c r="K25" i="13"/>
  <c r="J25" i="13"/>
  <c r="B25" i="13"/>
  <c r="AG25" i="13" s="1"/>
  <c r="A25" i="13" s="1"/>
  <c r="T24" i="13"/>
  <c r="Q24" i="13"/>
  <c r="P24" i="13"/>
  <c r="K24" i="13"/>
  <c r="J24" i="13"/>
  <c r="B24" i="13"/>
  <c r="AG24" i="13" s="1"/>
  <c r="A24" i="13" s="1"/>
  <c r="T23" i="13"/>
  <c r="Q23" i="13"/>
  <c r="P23" i="13"/>
  <c r="K23" i="13"/>
  <c r="J23" i="13"/>
  <c r="B23" i="13"/>
  <c r="AG23" i="13" s="1"/>
  <c r="A23" i="13" s="1"/>
  <c r="T22" i="13"/>
  <c r="Q22" i="13"/>
  <c r="P22" i="13"/>
  <c r="K22" i="13"/>
  <c r="J22" i="13"/>
  <c r="B22" i="13"/>
  <c r="AG22" i="13" s="1"/>
  <c r="A22" i="13" s="1"/>
  <c r="AG21" i="13"/>
  <c r="A21" i="13" s="1"/>
  <c r="T21" i="13"/>
  <c r="Q21" i="13"/>
  <c r="P21" i="13"/>
  <c r="K21" i="13"/>
  <c r="J21" i="13"/>
  <c r="B21" i="13"/>
  <c r="AG20" i="13"/>
  <c r="A20" i="13" s="1"/>
  <c r="T20" i="13"/>
  <c r="Q20" i="13"/>
  <c r="P20" i="13"/>
  <c r="K20" i="13"/>
  <c r="J20" i="13"/>
  <c r="B20" i="13"/>
  <c r="AG19" i="13"/>
  <c r="A19" i="13" s="1"/>
  <c r="T19" i="13"/>
  <c r="Q19" i="13"/>
  <c r="P19" i="13"/>
  <c r="K19" i="13"/>
  <c r="J19" i="13"/>
  <c r="B19" i="13"/>
  <c r="AG18" i="13"/>
  <c r="A18" i="13" s="1"/>
  <c r="T18" i="13"/>
  <c r="Q18" i="13"/>
  <c r="P18" i="13"/>
  <c r="K18" i="13"/>
  <c r="J18" i="13"/>
  <c r="B18" i="13"/>
  <c r="AG17" i="13"/>
  <c r="A17" i="13" s="1"/>
  <c r="T17" i="13"/>
  <c r="Q17" i="13"/>
  <c r="P17" i="13"/>
  <c r="K17" i="13"/>
  <c r="J17" i="13"/>
  <c r="B17" i="13"/>
  <c r="T16" i="13"/>
  <c r="Q16" i="13"/>
  <c r="P16" i="13"/>
  <c r="K16" i="13"/>
  <c r="J16" i="13"/>
  <c r="B16" i="13"/>
  <c r="AG16" i="13" s="1"/>
  <c r="A16" i="13" s="1"/>
  <c r="T15" i="13"/>
  <c r="Q15" i="13"/>
  <c r="P15" i="13"/>
  <c r="K15" i="13"/>
  <c r="J15" i="13"/>
  <c r="B15" i="13"/>
  <c r="AG15" i="13" s="1"/>
  <c r="A15" i="13" s="1"/>
  <c r="AG14" i="13"/>
  <c r="A14" i="13" s="1"/>
  <c r="T14" i="13"/>
  <c r="Q14" i="13"/>
  <c r="P14" i="13"/>
  <c r="K14" i="13"/>
  <c r="J14" i="13"/>
  <c r="B14" i="13"/>
  <c r="T13" i="13"/>
  <c r="Q13" i="13"/>
  <c r="P13" i="13"/>
  <c r="K13" i="13"/>
  <c r="J13" i="13"/>
  <c r="B13" i="13"/>
  <c r="T12" i="13"/>
  <c r="Q12" i="13"/>
  <c r="P12" i="13"/>
  <c r="K12" i="13"/>
  <c r="J12" i="13"/>
  <c r="B12" i="13"/>
  <c r="AG12" i="13" s="1"/>
  <c r="A12" i="13" s="1"/>
  <c r="AG11" i="13"/>
  <c r="A11" i="13" s="1"/>
  <c r="T11" i="13"/>
  <c r="Q11" i="13"/>
  <c r="P11" i="13"/>
  <c r="K11" i="13"/>
  <c r="J11" i="13"/>
  <c r="B11" i="13"/>
  <c r="T10" i="13"/>
  <c r="Q10" i="13"/>
  <c r="P10" i="13"/>
  <c r="K10" i="13"/>
  <c r="J10" i="13"/>
  <c r="B10" i="13"/>
  <c r="AG10" i="13" s="1"/>
  <c r="A10" i="13" s="1"/>
  <c r="T9" i="13"/>
  <c r="Q9" i="13"/>
  <c r="P9" i="13"/>
  <c r="K9" i="13"/>
  <c r="J9" i="13"/>
  <c r="B9" i="13"/>
  <c r="AG9" i="13" s="1"/>
  <c r="A9" i="13" s="1"/>
  <c r="AG8" i="13"/>
  <c r="A8" i="13" s="1"/>
  <c r="T8" i="13"/>
  <c r="Q8" i="13"/>
  <c r="P8" i="13"/>
  <c r="K8" i="13"/>
  <c r="J8" i="13"/>
  <c r="B8" i="13"/>
  <c r="T7" i="13"/>
  <c r="Q7" i="13"/>
  <c r="P7" i="13"/>
  <c r="K7" i="13"/>
  <c r="J7" i="13"/>
  <c r="B7" i="13"/>
  <c r="AG7" i="13" s="1"/>
  <c r="A7" i="13"/>
  <c r="AG6" i="13"/>
  <c r="A6" i="13" s="1"/>
  <c r="T6" i="13"/>
  <c r="Q6" i="13"/>
  <c r="P6" i="13"/>
  <c r="K6" i="13"/>
  <c r="J6" i="13"/>
  <c r="B6" i="13"/>
  <c r="T5" i="13"/>
  <c r="Q5" i="13"/>
  <c r="P5" i="13"/>
  <c r="K5" i="13"/>
  <c r="J5" i="13"/>
  <c r="B5" i="13"/>
  <c r="AG5" i="13" s="1"/>
  <c r="A5" i="13" s="1"/>
  <c r="T4" i="13"/>
  <c r="Q4" i="13"/>
  <c r="P4" i="13"/>
  <c r="K4" i="13"/>
  <c r="J4" i="13"/>
  <c r="B4" i="13"/>
  <c r="AG4" i="13" s="1"/>
  <c r="A4" i="13" s="1"/>
  <c r="AG3" i="13"/>
  <c r="A3" i="13" s="1"/>
  <c r="T3" i="13"/>
  <c r="Q3" i="13"/>
  <c r="P3" i="13"/>
  <c r="K3" i="13"/>
  <c r="J3" i="13"/>
  <c r="B3" i="13"/>
  <c r="T2" i="13"/>
  <c r="Q2" i="13"/>
  <c r="P2" i="13"/>
  <c r="K2" i="13"/>
  <c r="J2" i="13"/>
  <c r="B2" i="13"/>
  <c r="A1" i="13"/>
  <c r="I87" i="12"/>
  <c r="D87" i="12"/>
  <c r="A87" i="12"/>
  <c r="I86" i="12"/>
  <c r="D86" i="12"/>
  <c r="A86" i="12"/>
  <c r="I85" i="12"/>
  <c r="D85" i="12"/>
  <c r="A85" i="12"/>
  <c r="I84" i="12"/>
  <c r="D84" i="12"/>
  <c r="A84" i="12"/>
  <c r="I83" i="12"/>
  <c r="D83" i="12"/>
  <c r="A83" i="12"/>
  <c r="D82" i="12"/>
  <c r="A82" i="12"/>
  <c r="I82" i="12" s="1"/>
  <c r="D81" i="12"/>
  <c r="A81" i="12"/>
  <c r="I81" i="12" s="1"/>
  <c r="D80" i="12"/>
  <c r="A80" i="12"/>
  <c r="I80" i="12" s="1"/>
  <c r="I79" i="12"/>
  <c r="D79" i="12"/>
  <c r="A79" i="12"/>
  <c r="I78" i="12"/>
  <c r="D78" i="12"/>
  <c r="A78" i="12"/>
  <c r="I77" i="12"/>
  <c r="C77" i="12"/>
  <c r="A77" i="12"/>
  <c r="I76" i="12"/>
  <c r="C76" i="12"/>
  <c r="A76" i="12"/>
  <c r="I75" i="12"/>
  <c r="C75" i="12"/>
  <c r="A75" i="12"/>
  <c r="C74" i="12"/>
  <c r="A74" i="12"/>
  <c r="I74" i="12" s="1"/>
  <c r="C73" i="12"/>
  <c r="A73" i="12"/>
  <c r="I73" i="12" s="1"/>
  <c r="C72" i="12"/>
  <c r="A72" i="12"/>
  <c r="I72" i="12" s="1"/>
  <c r="I71" i="12"/>
  <c r="C71" i="12"/>
  <c r="A71" i="12"/>
  <c r="I70" i="12"/>
  <c r="C70" i="12"/>
  <c r="A70" i="12"/>
  <c r="I69" i="12"/>
  <c r="C69" i="12"/>
  <c r="A69" i="12"/>
  <c r="I68" i="12"/>
  <c r="C68" i="12"/>
  <c r="A68" i="12"/>
  <c r="I67" i="12"/>
  <c r="D67" i="12"/>
  <c r="C67" i="12"/>
  <c r="A67" i="12"/>
  <c r="D66" i="12"/>
  <c r="C66" i="12"/>
  <c r="E66" i="12" s="1"/>
  <c r="A66" i="12"/>
  <c r="I66" i="12" s="1"/>
  <c r="D65" i="12"/>
  <c r="C65" i="12"/>
  <c r="A65" i="12"/>
  <c r="I65" i="12" s="1"/>
  <c r="I64" i="12"/>
  <c r="D64" i="12"/>
  <c r="C64" i="12"/>
  <c r="A64" i="12"/>
  <c r="I63" i="12"/>
  <c r="D63" i="12"/>
  <c r="C63" i="12"/>
  <c r="A63" i="12"/>
  <c r="I62" i="12"/>
  <c r="D62" i="12"/>
  <c r="C62" i="12"/>
  <c r="A62" i="12"/>
  <c r="I61" i="12"/>
  <c r="D61" i="12"/>
  <c r="C61" i="12"/>
  <c r="A61" i="12"/>
  <c r="I60" i="12"/>
  <c r="D60" i="12"/>
  <c r="C60" i="12"/>
  <c r="A60" i="12"/>
  <c r="I59" i="12"/>
  <c r="D59" i="12"/>
  <c r="C59" i="12"/>
  <c r="A59" i="12"/>
  <c r="D58" i="12"/>
  <c r="C58" i="12"/>
  <c r="A58" i="12"/>
  <c r="I58" i="12" s="1"/>
  <c r="A57" i="12"/>
  <c r="I57" i="12" s="1"/>
  <c r="A56" i="12"/>
  <c r="I56" i="12" s="1"/>
  <c r="I55" i="12"/>
  <c r="A55" i="12"/>
  <c r="I54" i="12"/>
  <c r="A54" i="12"/>
  <c r="I53" i="12"/>
  <c r="A53" i="12"/>
  <c r="I52" i="12"/>
  <c r="A52" i="12"/>
  <c r="I51" i="12"/>
  <c r="A51" i="12"/>
  <c r="A50" i="12"/>
  <c r="I50" i="12" s="1"/>
  <c r="A49" i="12"/>
  <c r="I49" i="12" s="1"/>
  <c r="I48" i="12"/>
  <c r="A48" i="12"/>
  <c r="A47" i="12"/>
  <c r="I47" i="12" s="1"/>
  <c r="A46" i="12"/>
  <c r="I46" i="12" s="1"/>
  <c r="I45" i="12"/>
  <c r="A45" i="12"/>
  <c r="A44" i="12"/>
  <c r="I44" i="12" s="1"/>
  <c r="I43" i="12"/>
  <c r="A43" i="12"/>
  <c r="I42" i="12"/>
  <c r="A42" i="12"/>
  <c r="A41" i="12"/>
  <c r="I41" i="12" s="1"/>
  <c r="I40" i="12"/>
  <c r="A40" i="12"/>
  <c r="A39" i="12"/>
  <c r="I39" i="12" s="1"/>
  <c r="A38" i="12"/>
  <c r="I38" i="12" s="1"/>
  <c r="I37" i="12"/>
  <c r="A37" i="12"/>
  <c r="A36" i="12"/>
  <c r="I36" i="12" s="1"/>
  <c r="I35" i="12"/>
  <c r="A35" i="12"/>
  <c r="I34" i="12"/>
  <c r="A34" i="12"/>
  <c r="A33" i="12"/>
  <c r="I33" i="12" s="1"/>
  <c r="I32" i="12"/>
  <c r="A32" i="12"/>
  <c r="A31" i="12"/>
  <c r="I31" i="12" s="1"/>
  <c r="A30" i="12"/>
  <c r="I30" i="12" s="1"/>
  <c r="I29" i="12"/>
  <c r="A29" i="12"/>
  <c r="A28" i="12"/>
  <c r="I28" i="12" s="1"/>
  <c r="M15" i="12"/>
  <c r="L15" i="12"/>
  <c r="I15" i="12"/>
  <c r="J15" i="12" s="1"/>
  <c r="K15" i="12" s="1"/>
  <c r="M14" i="12"/>
  <c r="L14" i="12"/>
  <c r="I14" i="12"/>
  <c r="J14" i="12" s="1"/>
  <c r="K14" i="12" s="1"/>
  <c r="M13" i="12"/>
  <c r="L13" i="12"/>
  <c r="I13" i="12"/>
  <c r="J13" i="12" s="1"/>
  <c r="K13" i="12" s="1"/>
  <c r="M12" i="12"/>
  <c r="L12" i="12"/>
  <c r="K12" i="12"/>
  <c r="I12" i="12"/>
  <c r="J12" i="12" s="1"/>
  <c r="M11" i="12"/>
  <c r="L11" i="12"/>
  <c r="I11" i="12"/>
  <c r="J11" i="12" s="1"/>
  <c r="K11" i="12" s="1"/>
  <c r="M10" i="12"/>
  <c r="L10" i="12"/>
  <c r="I10" i="12"/>
  <c r="J10" i="12" s="1"/>
  <c r="K10" i="12" s="1"/>
  <c r="M9" i="12"/>
  <c r="L9" i="12"/>
  <c r="J9" i="12"/>
  <c r="K9" i="12" s="1"/>
  <c r="I9" i="12"/>
  <c r="M8" i="12"/>
  <c r="L8" i="12"/>
  <c r="I8" i="12"/>
  <c r="J8" i="12" s="1"/>
  <c r="K8" i="12" s="1"/>
  <c r="M7" i="12"/>
  <c r="L7" i="12"/>
  <c r="K7" i="12"/>
  <c r="J7" i="12"/>
  <c r="I7" i="12"/>
  <c r="M6" i="12"/>
  <c r="L6" i="12"/>
  <c r="I6" i="12"/>
  <c r="J6" i="12" s="1"/>
  <c r="M5" i="12"/>
  <c r="L5" i="12"/>
  <c r="J5" i="12"/>
  <c r="K5" i="12" s="1"/>
  <c r="I5" i="12"/>
  <c r="M4" i="12"/>
  <c r="L4" i="12"/>
  <c r="J4" i="12"/>
  <c r="K4" i="12" s="1"/>
  <c r="I4" i="12"/>
  <c r="M3" i="12"/>
  <c r="L3" i="12"/>
  <c r="I3" i="12"/>
  <c r="C29" i="10"/>
  <c r="C19" i="10"/>
  <c r="C11" i="10"/>
  <c r="B8" i="17" s="1"/>
  <c r="D68" i="12" s="1"/>
  <c r="C10" i="10"/>
  <c r="B17" i="8"/>
  <c r="A17" i="8"/>
  <c r="B16" i="8"/>
  <c r="B15" i="8"/>
  <c r="B14" i="8"/>
  <c r="A14" i="8"/>
  <c r="B13" i="8"/>
  <c r="A13" i="8"/>
  <c r="B12" i="8"/>
  <c r="A12" i="8"/>
  <c r="B11" i="8"/>
  <c r="B10" i="8"/>
  <c r="B9" i="8"/>
  <c r="A9" i="8"/>
  <c r="B8" i="8"/>
  <c r="B7" i="8"/>
  <c r="B6" i="8"/>
  <c r="A6" i="8"/>
  <c r="B5" i="8"/>
  <c r="A5" i="8"/>
  <c r="P3" i="8"/>
  <c r="P2" i="8"/>
  <c r="C40" i="6"/>
  <c r="C39" i="6"/>
  <c r="C38" i="6"/>
  <c r="C37" i="6"/>
  <c r="C36" i="6"/>
  <c r="C35" i="6"/>
  <c r="C34" i="6"/>
  <c r="C5" i="6"/>
  <c r="C4" i="6"/>
  <c r="D50" i="5"/>
  <c r="C50" i="5"/>
  <c r="G48" i="5"/>
  <c r="F48" i="5"/>
  <c r="E48" i="5"/>
  <c r="D48" i="5"/>
  <c r="G47" i="5"/>
  <c r="F47" i="5"/>
  <c r="E47" i="5"/>
  <c r="D47" i="5"/>
  <c r="C47" i="5"/>
  <c r="E45" i="5"/>
  <c r="D45" i="5"/>
  <c r="G44" i="5"/>
  <c r="F44" i="5"/>
  <c r="E44" i="5"/>
  <c r="D44" i="5"/>
  <c r="C44" i="5"/>
  <c r="G25" i="5"/>
  <c r="F25" i="5"/>
  <c r="F26" i="5" s="1"/>
  <c r="E25" i="5"/>
  <c r="E26" i="5" s="1"/>
  <c r="D25" i="5"/>
  <c r="C25" i="5"/>
  <c r="G24" i="5"/>
  <c r="F24" i="5"/>
  <c r="G26" i="5" s="1"/>
  <c r="E24" i="5"/>
  <c r="D24" i="5"/>
  <c r="D26" i="5" s="1"/>
  <c r="C24" i="5"/>
  <c r="F22" i="5"/>
  <c r="E22" i="5"/>
  <c r="D22" i="5"/>
  <c r="G21" i="5"/>
  <c r="F21" i="5"/>
  <c r="E21" i="5"/>
  <c r="D21" i="5"/>
  <c r="C21" i="5"/>
  <c r="G17" i="5"/>
  <c r="F17" i="5"/>
  <c r="E17" i="5"/>
  <c r="D17" i="5"/>
  <c r="C17" i="5"/>
  <c r="E16" i="5"/>
  <c r="C16" i="5"/>
  <c r="G12" i="5"/>
  <c r="F12" i="5"/>
  <c r="E12" i="5"/>
  <c r="D12" i="5"/>
  <c r="C12" i="5"/>
  <c r="G8" i="5"/>
  <c r="G45" i="5" s="1"/>
  <c r="F8" i="5"/>
  <c r="F45" i="5" s="1"/>
  <c r="E8" i="5"/>
  <c r="D8" i="5"/>
  <c r="C8" i="5"/>
  <c r="G7" i="5"/>
  <c r="E7" i="5"/>
  <c r="D7" i="5"/>
  <c r="C7" i="5"/>
  <c r="G6" i="5"/>
  <c r="F6" i="5"/>
  <c r="E6" i="5"/>
  <c r="D6" i="5"/>
  <c r="C6" i="5"/>
  <c r="G4" i="5"/>
  <c r="F4" i="5"/>
  <c r="E4" i="5"/>
  <c r="D4" i="5"/>
  <c r="C4" i="5"/>
  <c r="G3" i="5"/>
  <c r="F3" i="5"/>
  <c r="E3" i="5"/>
  <c r="D3" i="5"/>
  <c r="C3" i="5"/>
  <c r="G127" i="4"/>
  <c r="F127" i="4"/>
  <c r="E127" i="4"/>
  <c r="D127" i="4"/>
  <c r="C127" i="4"/>
  <c r="G123" i="4"/>
  <c r="F123" i="4"/>
  <c r="E123" i="4"/>
  <c r="D123" i="4"/>
  <c r="C123" i="4"/>
  <c r="G119" i="4"/>
  <c r="F119" i="4"/>
  <c r="E119" i="4"/>
  <c r="D119" i="4"/>
  <c r="C119" i="4"/>
  <c r="G117" i="4"/>
  <c r="F117" i="4"/>
  <c r="E117" i="4"/>
  <c r="D117" i="4"/>
  <c r="C117" i="4"/>
  <c r="G112" i="4"/>
  <c r="F112" i="4"/>
  <c r="E112" i="4"/>
  <c r="D112" i="4"/>
  <c r="C112" i="4"/>
  <c r="G107" i="4"/>
  <c r="F107" i="4"/>
  <c r="E107" i="4"/>
  <c r="D107" i="4"/>
  <c r="C107" i="4"/>
  <c r="G106" i="4"/>
  <c r="F106" i="4"/>
  <c r="E106" i="4"/>
  <c r="D106" i="4"/>
  <c r="C106" i="4"/>
  <c r="G104" i="4"/>
  <c r="F104" i="4"/>
  <c r="E104" i="4"/>
  <c r="D104" i="4"/>
  <c r="C104" i="4"/>
  <c r="G103" i="4"/>
  <c r="F103" i="4"/>
  <c r="E103" i="4"/>
  <c r="D103" i="4"/>
  <c r="C103" i="4"/>
  <c r="G91" i="4"/>
  <c r="F91" i="4"/>
  <c r="E91" i="4"/>
  <c r="D91" i="4"/>
  <c r="D30" i="4" s="1"/>
  <c r="C91" i="4"/>
  <c r="C30" i="4" s="1"/>
  <c r="G87" i="4"/>
  <c r="G26" i="4" s="1"/>
  <c r="F87" i="4"/>
  <c r="F26" i="4" s="1"/>
  <c r="E87" i="4"/>
  <c r="D87" i="4"/>
  <c r="C87" i="4"/>
  <c r="G83" i="4"/>
  <c r="G22" i="4" s="1"/>
  <c r="F83" i="4"/>
  <c r="F22" i="4" s="1"/>
  <c r="E83" i="4"/>
  <c r="D83" i="4"/>
  <c r="D22" i="4" s="1"/>
  <c r="C83" i="4"/>
  <c r="C22" i="4" s="1"/>
  <c r="G81" i="4"/>
  <c r="G20" i="4" s="1"/>
  <c r="F81" i="4"/>
  <c r="F20" i="4" s="1"/>
  <c r="E81" i="4"/>
  <c r="E20" i="4" s="1"/>
  <c r="D81" i="4"/>
  <c r="D20" i="4" s="1"/>
  <c r="C81" i="4"/>
  <c r="D80" i="4"/>
  <c r="C80" i="4"/>
  <c r="C19" i="4" s="1"/>
  <c r="G76" i="4"/>
  <c r="G15" i="4" s="1"/>
  <c r="F76" i="4"/>
  <c r="F15" i="4" s="1"/>
  <c r="E76" i="4"/>
  <c r="E15" i="4" s="1"/>
  <c r="D76" i="4"/>
  <c r="D15" i="4" s="1"/>
  <c r="C76" i="4"/>
  <c r="C15" i="4" s="1"/>
  <c r="G71" i="4"/>
  <c r="G10" i="4" s="1"/>
  <c r="F71" i="4"/>
  <c r="E71" i="4"/>
  <c r="E10" i="4" s="1"/>
  <c r="D71" i="4"/>
  <c r="D10" i="4" s="1"/>
  <c r="C71" i="4"/>
  <c r="C10" i="4" s="1"/>
  <c r="G70" i="4"/>
  <c r="G9" i="4" s="1"/>
  <c r="F70" i="4"/>
  <c r="F9" i="4" s="1"/>
  <c r="E70" i="4"/>
  <c r="E9" i="4" s="1"/>
  <c r="D70" i="4"/>
  <c r="D9" i="4" s="1"/>
  <c r="C70" i="4"/>
  <c r="G68" i="4"/>
  <c r="G7" i="4" s="1"/>
  <c r="F68" i="4"/>
  <c r="F7" i="4" s="1"/>
  <c r="E68" i="4"/>
  <c r="E7" i="4" s="1"/>
  <c r="D68" i="4"/>
  <c r="D7" i="4" s="1"/>
  <c r="C68" i="4"/>
  <c r="C7" i="4" s="1"/>
  <c r="G67" i="4"/>
  <c r="F67" i="4"/>
  <c r="E67" i="4"/>
  <c r="D67" i="4"/>
  <c r="D6" i="4" s="1"/>
  <c r="C67" i="4"/>
  <c r="C6" i="4" s="1"/>
  <c r="G30" i="4"/>
  <c r="F30" i="4"/>
  <c r="E30" i="4"/>
  <c r="E26" i="4"/>
  <c r="D26" i="4"/>
  <c r="C26" i="4"/>
  <c r="E22" i="4"/>
  <c r="C20" i="4"/>
  <c r="D19" i="4"/>
  <c r="F10" i="4"/>
  <c r="C9" i="4"/>
  <c r="D8" i="4"/>
  <c r="C8" i="4"/>
  <c r="G6" i="4"/>
  <c r="F6" i="4"/>
  <c r="E6" i="4"/>
  <c r="B4" i="4"/>
  <c r="F11" i="3" l="1"/>
  <c r="G14" i="5"/>
  <c r="C11" i="22"/>
  <c r="E60" i="12"/>
  <c r="D14" i="5"/>
  <c r="H40" i="14"/>
  <c r="H46" i="14"/>
  <c r="H65" i="14"/>
  <c r="F12" i="22"/>
  <c r="E9" i="5"/>
  <c r="E14" i="5" s="1"/>
  <c r="E62" i="12"/>
  <c r="H32" i="14"/>
  <c r="H66" i="14"/>
  <c r="H7" i="14"/>
  <c r="H26" i="14"/>
  <c r="H60" i="14"/>
  <c r="C17" i="17"/>
  <c r="F14" i="5"/>
  <c r="E68" i="12"/>
  <c r="D36" i="12"/>
  <c r="F34" i="13"/>
  <c r="F19" i="23"/>
  <c r="F20" i="23" s="1"/>
  <c r="H62" i="14"/>
  <c r="H68" i="14"/>
  <c r="E61" i="12"/>
  <c r="E63" i="12"/>
  <c r="E65" i="12"/>
  <c r="H20" i="14"/>
  <c r="H23" i="14"/>
  <c r="E133" i="4" s="1"/>
  <c r="H67" i="14"/>
  <c r="I4" i="18"/>
  <c r="D47" i="12"/>
  <c r="H6" i="14"/>
  <c r="H11" i="14"/>
  <c r="H21" i="14"/>
  <c r="H35" i="14"/>
  <c r="H38" i="14"/>
  <c r="C133" i="4" s="1"/>
  <c r="H55" i="14"/>
  <c r="F41" i="13"/>
  <c r="H5" i="14"/>
  <c r="H8" i="14"/>
  <c r="H18" i="14"/>
  <c r="H43" i="14"/>
  <c r="D52" i="12"/>
  <c r="D39" i="12"/>
  <c r="H31" i="14"/>
  <c r="H53" i="14"/>
  <c r="H57" i="14"/>
  <c r="D28" i="12"/>
  <c r="D49" i="12"/>
  <c r="D74" i="12"/>
  <c r="E74" i="12" s="1"/>
  <c r="M30" i="13"/>
  <c r="E30" i="13" s="1"/>
  <c r="H17" i="14"/>
  <c r="H28" i="14"/>
  <c r="H52" i="14"/>
  <c r="H61" i="14"/>
  <c r="B16" i="23"/>
  <c r="E64" i="12"/>
  <c r="I3" i="18"/>
  <c r="M16" i="13"/>
  <c r="E16" i="13" s="1"/>
  <c r="D76" i="12"/>
  <c r="E76" i="12" s="1"/>
  <c r="D31" i="12"/>
  <c r="M37" i="13"/>
  <c r="F39" i="13"/>
  <c r="H12" i="14"/>
  <c r="H37" i="14"/>
  <c r="H47" i="14"/>
  <c r="H63" i="14"/>
  <c r="D16" i="23"/>
  <c r="D73" i="4"/>
  <c r="E59" i="12"/>
  <c r="F33" i="13"/>
  <c r="H30" i="14"/>
  <c r="H36" i="14"/>
  <c r="D12" i="22"/>
  <c r="B19" i="23"/>
  <c r="B20" i="23" s="1"/>
  <c r="C22" i="5"/>
  <c r="C14" i="5"/>
  <c r="C9" i="5"/>
  <c r="C45" i="5"/>
  <c r="D34" i="12"/>
  <c r="C48" i="5"/>
  <c r="C26" i="5"/>
  <c r="A15" i="8"/>
  <c r="D42" i="12"/>
  <c r="E67" i="12"/>
  <c r="A7" i="8"/>
  <c r="D44" i="12"/>
  <c r="K6" i="12"/>
  <c r="D45" i="12" s="1"/>
  <c r="E35" i="5"/>
  <c r="AG13" i="13"/>
  <c r="A13" i="13" s="1"/>
  <c r="G22" i="5"/>
  <c r="A11" i="8"/>
  <c r="J3" i="12"/>
  <c r="K3" i="12" s="1"/>
  <c r="D30" i="12" s="1"/>
  <c r="D33" i="12"/>
  <c r="D41" i="12"/>
  <c r="D51" i="12"/>
  <c r="D75" i="12"/>
  <c r="E75" i="12" s="1"/>
  <c r="M36" i="13"/>
  <c r="M55" i="13"/>
  <c r="A8" i="8"/>
  <c r="A16" i="8"/>
  <c r="D38" i="12"/>
  <c r="D46" i="12"/>
  <c r="F32" i="13"/>
  <c r="M33" i="13"/>
  <c r="D35" i="12"/>
  <c r="D43" i="12"/>
  <c r="M17" i="13"/>
  <c r="E17" i="13" s="1"/>
  <c r="M35" i="13"/>
  <c r="A10" i="8"/>
  <c r="B7" i="17"/>
  <c r="AB32" i="13" s="1"/>
  <c r="E16" i="15"/>
  <c r="K16" i="15" s="1"/>
  <c r="D16" i="15"/>
  <c r="J16" i="15" s="1"/>
  <c r="E8" i="15"/>
  <c r="K8" i="15" s="1"/>
  <c r="E9" i="15"/>
  <c r="K9" i="15" s="1"/>
  <c r="D8" i="15"/>
  <c r="J8" i="15" s="1"/>
  <c r="D9" i="15"/>
  <c r="J9" i="15" s="1"/>
  <c r="E4" i="15"/>
  <c r="K4" i="15" s="1"/>
  <c r="D4" i="15"/>
  <c r="J4" i="15" s="1"/>
  <c r="E11" i="15"/>
  <c r="K11" i="15" s="1"/>
  <c r="E5" i="15"/>
  <c r="K5" i="15" s="1"/>
  <c r="E12" i="15"/>
  <c r="K12" i="15" s="1"/>
  <c r="D12" i="15"/>
  <c r="J12" i="15" s="1"/>
  <c r="D32" i="12"/>
  <c r="D40" i="12"/>
  <c r="D48" i="12"/>
  <c r="D50" i="12"/>
  <c r="E58" i="12"/>
  <c r="M66" i="13"/>
  <c r="E66" i="13" s="1"/>
  <c r="M65" i="13"/>
  <c r="E65" i="13" s="1"/>
  <c r="M54" i="13"/>
  <c r="M58" i="13"/>
  <c r="M56" i="13"/>
  <c r="M60" i="13"/>
  <c r="M57" i="13"/>
  <c r="M53" i="13"/>
  <c r="M50" i="13"/>
  <c r="E50" i="13" s="1"/>
  <c r="F50" i="13" s="1"/>
  <c r="M49" i="13"/>
  <c r="E49" i="13" s="1"/>
  <c r="F49" i="13" s="1"/>
  <c r="M48" i="13"/>
  <c r="E48" i="13" s="1"/>
  <c r="F48" i="13" s="1"/>
  <c r="M47" i="13"/>
  <c r="E47" i="13" s="1"/>
  <c r="F47" i="13" s="1"/>
  <c r="M46" i="13"/>
  <c r="E46" i="13" s="1"/>
  <c r="F46" i="13" s="1"/>
  <c r="M62" i="13"/>
  <c r="E62" i="13" s="1"/>
  <c r="M59" i="13"/>
  <c r="M51" i="13"/>
  <c r="E51" i="13" s="1"/>
  <c r="M52" i="13"/>
  <c r="M39" i="13"/>
  <c r="M63" i="13"/>
  <c r="E63" i="13" s="1"/>
  <c r="M45" i="13"/>
  <c r="E45" i="13" s="1"/>
  <c r="F45" i="13" s="1"/>
  <c r="M42" i="13"/>
  <c r="E42" i="13" s="1"/>
  <c r="F42" i="13" s="1"/>
  <c r="M40" i="13"/>
  <c r="M61" i="13"/>
  <c r="M44" i="13"/>
  <c r="E44" i="13" s="1"/>
  <c r="F44" i="13" s="1"/>
  <c r="M28" i="13"/>
  <c r="E28" i="13" s="1"/>
  <c r="M27" i="13"/>
  <c r="E27" i="13" s="1"/>
  <c r="M26" i="13"/>
  <c r="E26" i="13" s="1"/>
  <c r="M25" i="13"/>
  <c r="E25" i="13" s="1"/>
  <c r="M19" i="13"/>
  <c r="E19" i="13" s="1"/>
  <c r="M41" i="13"/>
  <c r="M24" i="13"/>
  <c r="E24" i="13" s="1"/>
  <c r="M15" i="13"/>
  <c r="E15" i="13" s="1"/>
  <c r="M14" i="13"/>
  <c r="E14" i="13" s="1"/>
  <c r="M13" i="13"/>
  <c r="E13" i="13" s="1"/>
  <c r="M12" i="13"/>
  <c r="E12" i="13" s="1"/>
  <c r="M11" i="13"/>
  <c r="E11" i="13" s="1"/>
  <c r="M10" i="13"/>
  <c r="E10" i="13" s="1"/>
  <c r="M9" i="13"/>
  <c r="E9" i="13" s="1"/>
  <c r="M8" i="13"/>
  <c r="E8" i="13" s="1"/>
  <c r="M7" i="13"/>
  <c r="E7" i="13" s="1"/>
  <c r="M6" i="13"/>
  <c r="E6" i="13" s="1"/>
  <c r="M5" i="13"/>
  <c r="E5" i="13" s="1"/>
  <c r="M64" i="13"/>
  <c r="E64" i="13" s="1"/>
  <c r="M43" i="13"/>
  <c r="E43" i="13" s="1"/>
  <c r="F43" i="13" s="1"/>
  <c r="M23" i="13"/>
  <c r="E23" i="13" s="1"/>
  <c r="M22" i="13"/>
  <c r="E22" i="13" s="1"/>
  <c r="M32" i="13"/>
  <c r="M21" i="13"/>
  <c r="E21" i="13" s="1"/>
  <c r="D77" i="12"/>
  <c r="E77" i="12" s="1"/>
  <c r="D69" i="12"/>
  <c r="E69" i="12" s="1"/>
  <c r="D53" i="12"/>
  <c r="M29" i="13"/>
  <c r="E29" i="13" s="1"/>
  <c r="D70" i="12"/>
  <c r="E70" i="12" s="1"/>
  <c r="D54" i="12"/>
  <c r="M34" i="13"/>
  <c r="M2" i="13"/>
  <c r="E2" i="13" s="1"/>
  <c r="D71" i="12"/>
  <c r="E71" i="12" s="1"/>
  <c r="D55" i="12"/>
  <c r="M31" i="13"/>
  <c r="E31" i="13" s="1"/>
  <c r="M18" i="13"/>
  <c r="E18" i="13" s="1"/>
  <c r="D72" i="12"/>
  <c r="E72" i="12" s="1"/>
  <c r="D56" i="12"/>
  <c r="M38" i="13"/>
  <c r="M20" i="13"/>
  <c r="E20" i="13" s="1"/>
  <c r="D73" i="12"/>
  <c r="E73" i="12" s="1"/>
  <c r="D57" i="12"/>
  <c r="D37" i="12"/>
  <c r="F35" i="13"/>
  <c r="AB41" i="13"/>
  <c r="B5" i="20"/>
  <c r="B4" i="20"/>
  <c r="B3" i="20"/>
  <c r="B2" i="20"/>
  <c r="AG2" i="13"/>
  <c r="A2" i="13" s="1"/>
  <c r="AB36" i="13"/>
  <c r="C105" i="4" s="1"/>
  <c r="C116" i="4" s="1"/>
  <c r="F36" i="13"/>
  <c r="AB37" i="13"/>
  <c r="F37" i="13"/>
  <c r="F38" i="13"/>
  <c r="A80" i="14"/>
  <c r="A72" i="14"/>
  <c r="A82" i="14"/>
  <c r="A74" i="14"/>
  <c r="A81" i="14"/>
  <c r="A73" i="14"/>
  <c r="A83" i="14"/>
  <c r="A79" i="14"/>
  <c r="A76" i="14"/>
  <c r="A75" i="14"/>
  <c r="A71" i="14"/>
  <c r="A78" i="14"/>
  <c r="A77" i="14"/>
  <c r="F39" i="14"/>
  <c r="C39" i="14"/>
  <c r="D39" i="14" s="1"/>
  <c r="F51" i="13"/>
  <c r="H13" i="14"/>
  <c r="B7" i="15"/>
  <c r="D7" i="15"/>
  <c r="J7" i="15" s="1"/>
  <c r="C7" i="15"/>
  <c r="E7" i="15"/>
  <c r="K7" i="15" s="1"/>
  <c r="H45" i="14"/>
  <c r="H58" i="14"/>
  <c r="G133" i="4" s="1"/>
  <c r="D14" i="15"/>
  <c r="J14" i="15" s="1"/>
  <c r="E14" i="15"/>
  <c r="K14" i="15" s="1"/>
  <c r="C14" i="15"/>
  <c r="B14" i="15"/>
  <c r="B17" i="17"/>
  <c r="C14" i="17" s="1"/>
  <c r="C13" i="17" s="1"/>
  <c r="B20" i="17"/>
  <c r="D2" i="18" s="1"/>
  <c r="C4" i="14"/>
  <c r="D4" i="14" s="1"/>
  <c r="F4" i="14"/>
  <c r="E4" i="14"/>
  <c r="H27" i="14"/>
  <c r="H41" i="14"/>
  <c r="H42" i="14"/>
  <c r="D14" i="17"/>
  <c r="D13" i="17" s="1"/>
  <c r="Y59" i="13"/>
  <c r="O4" i="18"/>
  <c r="H10" i="14"/>
  <c r="C64" i="14"/>
  <c r="D64" i="14" s="1"/>
  <c r="D13" i="15"/>
  <c r="J13" i="15" s="1"/>
  <c r="C13" i="15"/>
  <c r="H16" i="14"/>
  <c r="E64" i="14"/>
  <c r="D6" i="15"/>
  <c r="J6" i="15" s="1"/>
  <c r="E6" i="15"/>
  <c r="K6" i="15" s="1"/>
  <c r="C6" i="15"/>
  <c r="B6" i="15"/>
  <c r="B13" i="15"/>
  <c r="H22" i="14"/>
  <c r="H50" i="14"/>
  <c r="F64" i="14"/>
  <c r="E13" i="15"/>
  <c r="K13" i="15" s="1"/>
  <c r="B15" i="15"/>
  <c r="D15" i="15"/>
  <c r="J15" i="15" s="1"/>
  <c r="C15" i="15"/>
  <c r="E15" i="15"/>
  <c r="K15" i="15" s="1"/>
  <c r="B19" i="17"/>
  <c r="H15" i="14"/>
  <c r="D5" i="15"/>
  <c r="J5" i="15" s="1"/>
  <c r="C5" i="15"/>
  <c r="C9" i="14"/>
  <c r="D9" i="14" s="1"/>
  <c r="H33" i="14"/>
  <c r="E54" i="14"/>
  <c r="F54" i="14"/>
  <c r="I6" i="18"/>
  <c r="Y63" i="13"/>
  <c r="F9" i="14"/>
  <c r="F14" i="14"/>
  <c r="H25" i="14"/>
  <c r="H48" i="14"/>
  <c r="F133" i="4" s="1"/>
  <c r="I5" i="18"/>
  <c r="E17" i="17"/>
  <c r="F17" i="17"/>
  <c r="C24" i="14"/>
  <c r="D24" i="14" s="1"/>
  <c r="H56" i="14"/>
  <c r="D10" i="15"/>
  <c r="J10" i="15" s="1"/>
  <c r="E10" i="15"/>
  <c r="K10" i="15" s="1"/>
  <c r="B11" i="15"/>
  <c r="D11" i="15"/>
  <c r="J11" i="15" s="1"/>
  <c r="L11" i="15" s="1"/>
  <c r="G39" i="14" s="1"/>
  <c r="C11" i="15"/>
  <c r="I2" i="18"/>
  <c r="B11" i="22"/>
  <c r="B14" i="22" s="1"/>
  <c r="E12" i="22"/>
  <c r="C16" i="23"/>
  <c r="D11" i="22"/>
  <c r="D14" i="22" s="1"/>
  <c r="B15" i="23"/>
  <c r="E16" i="23"/>
  <c r="C19" i="23"/>
  <c r="C20" i="23" s="1"/>
  <c r="E11" i="22"/>
  <c r="C15" i="23"/>
  <c r="F16" i="23"/>
  <c r="D19" i="23"/>
  <c r="D20" i="23" s="1"/>
  <c r="F11" i="22"/>
  <c r="D15" i="23"/>
  <c r="D17" i="23" s="1"/>
  <c r="D22" i="23" s="1"/>
  <c r="E19" i="23"/>
  <c r="E20" i="23" s="1"/>
  <c r="E15" i="23"/>
  <c r="C12" i="22"/>
  <c r="C14" i="22" s="1"/>
  <c r="F15" i="23"/>
  <c r="B17" i="23" l="1"/>
  <c r="B22" i="23" s="1"/>
  <c r="F14" i="22"/>
  <c r="AB49" i="13"/>
  <c r="L8" i="15"/>
  <c r="G24" i="14" s="1"/>
  <c r="L4" i="15"/>
  <c r="G4" i="14" s="1"/>
  <c r="Y29" i="13"/>
  <c r="Y49" i="13"/>
  <c r="Y39" i="13"/>
  <c r="Y19" i="13"/>
  <c r="Y54" i="13"/>
  <c r="Y34" i="13"/>
  <c r="Y14" i="13"/>
  <c r="Y9" i="13"/>
  <c r="Y4" i="13"/>
  <c r="Y24" i="13"/>
  <c r="Y64" i="13"/>
  <c r="Y44" i="13"/>
  <c r="L15" i="15"/>
  <c r="G59" i="14" s="1"/>
  <c r="H59" i="14" s="1"/>
  <c r="L5" i="15"/>
  <c r="G9" i="14" s="1"/>
  <c r="L10" i="15"/>
  <c r="G34" i="14" s="1"/>
  <c r="H34" i="14" s="1"/>
  <c r="B77" i="14" s="1"/>
  <c r="O3" i="18"/>
  <c r="Y48" i="13"/>
  <c r="Y43" i="13"/>
  <c r="Y58" i="13"/>
  <c r="Y33" i="13"/>
  <c r="Y3" i="13"/>
  <c r="Y8" i="13"/>
  <c r="Y18" i="13"/>
  <c r="Y28" i="13"/>
  <c r="Y13" i="13"/>
  <c r="Y53" i="13"/>
  <c r="Y38" i="13"/>
  <c r="Y23" i="13"/>
  <c r="C17" i="23"/>
  <c r="C22" i="23" s="1"/>
  <c r="H24" i="14"/>
  <c r="B75" i="14" s="1"/>
  <c r="C9" i="8" s="1"/>
  <c r="D78" i="4"/>
  <c r="D17" i="4" s="1"/>
  <c r="D12" i="4"/>
  <c r="L7" i="15"/>
  <c r="G19" i="14" s="1"/>
  <c r="H19" i="14" s="1"/>
  <c r="E97" i="4" s="1"/>
  <c r="L9" i="15"/>
  <c r="G29" i="14" s="1"/>
  <c r="H29" i="14" s="1"/>
  <c r="L6" i="15"/>
  <c r="G14" i="14" s="1"/>
  <c r="H14" i="14" s="1"/>
  <c r="B73" i="14" s="1"/>
  <c r="E17" i="23"/>
  <c r="E22" i="23" s="1"/>
  <c r="AB39" i="13"/>
  <c r="L16" i="15"/>
  <c r="G64" i="14" s="1"/>
  <c r="H64" i="14" s="1"/>
  <c r="B83" i="14" s="1"/>
  <c r="B76" i="14"/>
  <c r="C10" i="8" s="1"/>
  <c r="H39" i="14"/>
  <c r="C2" i="18"/>
  <c r="F90" i="4"/>
  <c r="F29" i="4" s="1"/>
  <c r="E90" i="4"/>
  <c r="E29" i="4" s="1"/>
  <c r="D90" i="4"/>
  <c r="D29" i="4" s="1"/>
  <c r="C90" i="4"/>
  <c r="C29" i="4" s="1"/>
  <c r="G90" i="4"/>
  <c r="G29" i="4" s="1"/>
  <c r="L14" i="15"/>
  <c r="G54" i="14" s="1"/>
  <c r="H54" i="14" s="1"/>
  <c r="AB35" i="13"/>
  <c r="M3" i="13"/>
  <c r="E3" i="13" s="1"/>
  <c r="L13" i="15"/>
  <c r="G49" i="14" s="1"/>
  <c r="H49" i="14" s="1"/>
  <c r="AB48" i="13"/>
  <c r="AB43" i="13"/>
  <c r="AB34" i="13"/>
  <c r="M4" i="13"/>
  <c r="E4" i="13" s="1"/>
  <c r="L65" i="13"/>
  <c r="L61" i="13"/>
  <c r="L57" i="13"/>
  <c r="L53" i="13"/>
  <c r="B9" i="17"/>
  <c r="F20" i="17" s="1"/>
  <c r="D6" i="18" s="1"/>
  <c r="L63" i="13"/>
  <c r="L59" i="13"/>
  <c r="L55" i="13"/>
  <c r="L52" i="13"/>
  <c r="L66" i="13"/>
  <c r="L54" i="13"/>
  <c r="L58" i="13"/>
  <c r="L56" i="13"/>
  <c r="L60" i="13"/>
  <c r="L50" i="13"/>
  <c r="L49" i="13"/>
  <c r="L48" i="13"/>
  <c r="L47" i="13"/>
  <c r="L46" i="13"/>
  <c r="L45" i="13"/>
  <c r="L44" i="13"/>
  <c r="L43" i="13"/>
  <c r="L42" i="13"/>
  <c r="L41" i="13"/>
  <c r="L40" i="13"/>
  <c r="L39" i="13"/>
  <c r="L51" i="13"/>
  <c r="AB50" i="13"/>
  <c r="L29" i="13"/>
  <c r="L17" i="13"/>
  <c r="L28" i="13"/>
  <c r="L27" i="13"/>
  <c r="L26" i="13"/>
  <c r="L25" i="13"/>
  <c r="L19" i="13"/>
  <c r="L24" i="13"/>
  <c r="L15" i="13"/>
  <c r="L14" i="13"/>
  <c r="L13" i="13"/>
  <c r="L12" i="13"/>
  <c r="L11" i="13"/>
  <c r="L10" i="13"/>
  <c r="L9" i="13"/>
  <c r="L8" i="13"/>
  <c r="L7" i="13"/>
  <c r="L6" i="13"/>
  <c r="L5" i="13"/>
  <c r="L4" i="13"/>
  <c r="L3" i="13"/>
  <c r="L35" i="13"/>
  <c r="L22" i="13"/>
  <c r="C84" i="12"/>
  <c r="E84" i="12" s="1"/>
  <c r="C52" i="12"/>
  <c r="E52" i="12" s="1"/>
  <c r="L32" i="13"/>
  <c r="L23" i="13"/>
  <c r="L21" i="13"/>
  <c r="C85" i="12"/>
  <c r="E85" i="12" s="1"/>
  <c r="C53" i="12"/>
  <c r="E53" i="12" s="1"/>
  <c r="C86" i="12"/>
  <c r="E86" i="12" s="1"/>
  <c r="C78" i="12"/>
  <c r="E78" i="12" s="1"/>
  <c r="C54" i="12"/>
  <c r="E54" i="12" s="1"/>
  <c r="L34" i="13"/>
  <c r="AB33" i="13"/>
  <c r="L2" i="13"/>
  <c r="C87" i="12"/>
  <c r="E87" i="12" s="1"/>
  <c r="C79" i="12"/>
  <c r="E79" i="12" s="1"/>
  <c r="C55" i="12"/>
  <c r="E55" i="12" s="1"/>
  <c r="L31" i="13"/>
  <c r="L18" i="13"/>
  <c r="C80" i="12"/>
  <c r="E80" i="12" s="1"/>
  <c r="C56" i="12"/>
  <c r="E56" i="12" s="1"/>
  <c r="C81" i="12"/>
  <c r="E81" i="12" s="1"/>
  <c r="C42" i="12"/>
  <c r="E42" i="12" s="1"/>
  <c r="C34" i="12"/>
  <c r="E34" i="12" s="1"/>
  <c r="C45" i="12"/>
  <c r="E45" i="12" s="1"/>
  <c r="C37" i="12"/>
  <c r="E37" i="12" s="1"/>
  <c r="C29" i="12"/>
  <c r="L38" i="13"/>
  <c r="C83" i="12"/>
  <c r="E83" i="12" s="1"/>
  <c r="C50" i="12"/>
  <c r="E50" i="12" s="1"/>
  <c r="C48" i="12"/>
  <c r="E48" i="12" s="1"/>
  <c r="C40" i="12"/>
  <c r="E40" i="12" s="1"/>
  <c r="C32" i="12"/>
  <c r="E32" i="12" s="1"/>
  <c r="C57" i="12"/>
  <c r="E57" i="12" s="1"/>
  <c r="C43" i="12"/>
  <c r="E43" i="12" s="1"/>
  <c r="C35" i="12"/>
  <c r="E35" i="12" s="1"/>
  <c r="C82" i="12"/>
  <c r="E82" i="12" s="1"/>
  <c r="C41" i="12"/>
  <c r="E41" i="12" s="1"/>
  <c r="C33" i="12"/>
  <c r="E33" i="12" s="1"/>
  <c r="L33" i="13"/>
  <c r="L20" i="13"/>
  <c r="C46" i="12"/>
  <c r="E46" i="12" s="1"/>
  <c r="C38" i="12"/>
  <c r="E38" i="12" s="1"/>
  <c r="C30" i="12"/>
  <c r="E30" i="12" s="1"/>
  <c r="L36" i="13"/>
  <c r="C51" i="12"/>
  <c r="E51" i="12" s="1"/>
  <c r="C47" i="12"/>
  <c r="E47" i="12" s="1"/>
  <c r="C36" i="12"/>
  <c r="E36" i="12" s="1"/>
  <c r="L64" i="13"/>
  <c r="C39" i="12"/>
  <c r="E39" i="12" s="1"/>
  <c r="C28" i="12"/>
  <c r="E28" i="12" s="1"/>
  <c r="L62" i="13"/>
  <c r="C49" i="12"/>
  <c r="E49" i="12" s="1"/>
  <c r="L37" i="13"/>
  <c r="C31" i="12"/>
  <c r="E31" i="12" s="1"/>
  <c r="L16" i="13"/>
  <c r="L30" i="13"/>
  <c r="C44" i="12"/>
  <c r="E44" i="12" s="1"/>
  <c r="H4" i="14"/>
  <c r="AB51" i="13"/>
  <c r="AB44" i="13"/>
  <c r="C35" i="5"/>
  <c r="O6" i="18"/>
  <c r="Y61" i="13"/>
  <c r="Y66" i="13"/>
  <c r="Y56" i="13"/>
  <c r="Y51" i="13"/>
  <c r="Y41" i="13"/>
  <c r="Y36" i="13"/>
  <c r="Y31" i="13"/>
  <c r="Y26" i="13"/>
  <c r="Y21" i="13"/>
  <c r="Y16" i="13"/>
  <c r="Y46" i="13"/>
  <c r="Y11" i="13"/>
  <c r="Y6" i="13"/>
  <c r="D29" i="12"/>
  <c r="F17" i="23"/>
  <c r="F22" i="23" s="1"/>
  <c r="I62" i="13"/>
  <c r="S62" i="13" s="1"/>
  <c r="I52" i="13"/>
  <c r="S52" i="13" s="1"/>
  <c r="I37" i="13"/>
  <c r="S37" i="13" s="1"/>
  <c r="I32" i="13"/>
  <c r="S32" i="13" s="1"/>
  <c r="I27" i="13"/>
  <c r="S27" i="13" s="1"/>
  <c r="I22" i="13"/>
  <c r="S22" i="13" s="1"/>
  <c r="H48" i="12"/>
  <c r="I12" i="13"/>
  <c r="S12" i="13" s="1"/>
  <c r="H73" i="12"/>
  <c r="I17" i="13"/>
  <c r="S17" i="13" s="1"/>
  <c r="I7" i="13"/>
  <c r="S7" i="13" s="1"/>
  <c r="H58" i="12"/>
  <c r="I47" i="13"/>
  <c r="S47" i="13" s="1"/>
  <c r="I42" i="13"/>
  <c r="S42" i="13" s="1"/>
  <c r="H83" i="12"/>
  <c r="H68" i="12"/>
  <c r="H43" i="12"/>
  <c r="H78" i="12"/>
  <c r="H38" i="12"/>
  <c r="H33" i="12"/>
  <c r="I57" i="13"/>
  <c r="S57" i="13" s="1"/>
  <c r="H63" i="12"/>
  <c r="H28" i="12"/>
  <c r="I2" i="13"/>
  <c r="S2" i="13" s="1"/>
  <c r="H53" i="12"/>
  <c r="AB47" i="13"/>
  <c r="AB46" i="13"/>
  <c r="F105" i="4" s="1"/>
  <c r="F116" i="4" s="1"/>
  <c r="B78" i="14"/>
  <c r="B74" i="14"/>
  <c r="C8" i="8" s="1"/>
  <c r="AB45" i="13"/>
  <c r="L12" i="15"/>
  <c r="G44" i="14" s="1"/>
  <c r="H44" i="14" s="1"/>
  <c r="B79" i="14" s="1"/>
  <c r="F14" i="17"/>
  <c r="F13" i="17" s="1"/>
  <c r="O5" i="18"/>
  <c r="Y55" i="13"/>
  <c r="Y65" i="13"/>
  <c r="Y50" i="13"/>
  <c r="Y60" i="13"/>
  <c r="Y45" i="13"/>
  <c r="Y35" i="13"/>
  <c r="Y30" i="13"/>
  <c r="Y25" i="13"/>
  <c r="Y40" i="13"/>
  <c r="Y10" i="13"/>
  <c r="Y15" i="13"/>
  <c r="Y5" i="13"/>
  <c r="Y20" i="13"/>
  <c r="E14" i="22"/>
  <c r="O2" i="18"/>
  <c r="Y57" i="13"/>
  <c r="Y52" i="13"/>
  <c r="Y62" i="13"/>
  <c r="Y37" i="13"/>
  <c r="Y32" i="13"/>
  <c r="Y27" i="13"/>
  <c r="Y22" i="13"/>
  <c r="Y47" i="13"/>
  <c r="Y2" i="13"/>
  <c r="Y12" i="13"/>
  <c r="Y17" i="13"/>
  <c r="Y7" i="13"/>
  <c r="Y42" i="13"/>
  <c r="H9" i="14"/>
  <c r="C19" i="17"/>
  <c r="C3" i="18" s="1"/>
  <c r="AB42" i="13"/>
  <c r="AB40" i="13"/>
  <c r="B82" i="14"/>
  <c r="C16" i="8" s="1"/>
  <c r="AB38" i="13"/>
  <c r="E19" i="17" l="1"/>
  <c r="C5" i="18" s="1"/>
  <c r="H55" i="13" s="1"/>
  <c r="R55" i="13" s="1"/>
  <c r="C97" i="4"/>
  <c r="C11" i="8"/>
  <c r="C45" i="6"/>
  <c r="B72" i="14"/>
  <c r="C6" i="8" s="1"/>
  <c r="E20" i="17"/>
  <c r="D5" i="18" s="1"/>
  <c r="E29" i="12"/>
  <c r="I61" i="13"/>
  <c r="S61" i="13" s="1"/>
  <c r="I66" i="13"/>
  <c r="S66" i="13" s="1"/>
  <c r="I46" i="13"/>
  <c r="S46" i="13" s="1"/>
  <c r="I56" i="13"/>
  <c r="S56" i="13" s="1"/>
  <c r="I51" i="13"/>
  <c r="S51" i="13" s="1"/>
  <c r="I36" i="13"/>
  <c r="S36" i="13" s="1"/>
  <c r="I31" i="13"/>
  <c r="S31" i="13" s="1"/>
  <c r="I26" i="13"/>
  <c r="S26" i="13" s="1"/>
  <c r="I21" i="13"/>
  <c r="S21" i="13" s="1"/>
  <c r="I16" i="13"/>
  <c r="S16" i="13" s="1"/>
  <c r="H72" i="12"/>
  <c r="H57" i="12"/>
  <c r="I41" i="13"/>
  <c r="S41" i="13" s="1"/>
  <c r="H82" i="12"/>
  <c r="H67" i="12"/>
  <c r="H52" i="12"/>
  <c r="H32" i="12"/>
  <c r="H62" i="12"/>
  <c r="I11" i="13"/>
  <c r="S11" i="13" s="1"/>
  <c r="H47" i="12"/>
  <c r="H87" i="12"/>
  <c r="I6" i="13"/>
  <c r="S6" i="13" s="1"/>
  <c r="H37" i="12"/>
  <c r="H77" i="12"/>
  <c r="H42" i="12"/>
  <c r="H63" i="13"/>
  <c r="R63" i="13" s="1"/>
  <c r="H58" i="13"/>
  <c r="R58" i="13" s="1"/>
  <c r="H53" i="13"/>
  <c r="R53" i="13" s="1"/>
  <c r="H38" i="13"/>
  <c r="R38" i="13" s="1"/>
  <c r="H18" i="13"/>
  <c r="R18" i="13" s="1"/>
  <c r="G84" i="12"/>
  <c r="G79" i="12"/>
  <c r="G74" i="12"/>
  <c r="G69" i="12"/>
  <c r="G64" i="12"/>
  <c r="G59" i="12"/>
  <c r="G54" i="12"/>
  <c r="G49" i="12"/>
  <c r="H33" i="13"/>
  <c r="R33" i="13" s="1"/>
  <c r="G44" i="12"/>
  <c r="G39" i="12"/>
  <c r="G34" i="12"/>
  <c r="G29" i="12"/>
  <c r="H48" i="13"/>
  <c r="R48" i="13" s="1"/>
  <c r="H23" i="13"/>
  <c r="R23" i="13" s="1"/>
  <c r="H8" i="13"/>
  <c r="R8" i="13" s="1"/>
  <c r="H43" i="13"/>
  <c r="R43" i="13" s="1"/>
  <c r="H3" i="13"/>
  <c r="R3" i="13" s="1"/>
  <c r="H13" i="13"/>
  <c r="R13" i="13" s="1"/>
  <c r="H28" i="13"/>
  <c r="R28" i="13" s="1"/>
  <c r="O36" i="13"/>
  <c r="N36" i="13"/>
  <c r="AC36" i="13" s="1"/>
  <c r="D23" i="13"/>
  <c r="O23" i="13" s="1"/>
  <c r="D5" i="13"/>
  <c r="O5" i="13" s="1"/>
  <c r="D28" i="13"/>
  <c r="N28" i="13" s="1"/>
  <c r="N42" i="13"/>
  <c r="I13" i="8" s="1"/>
  <c r="O42" i="13"/>
  <c r="D59" i="13"/>
  <c r="O38" i="13"/>
  <c r="N38" i="13"/>
  <c r="AC38" i="13" s="1"/>
  <c r="D13" i="13"/>
  <c r="N13" i="13" s="1"/>
  <c r="O50" i="13"/>
  <c r="N50" i="13"/>
  <c r="H35" i="13"/>
  <c r="R35" i="13" s="1"/>
  <c r="G81" i="12"/>
  <c r="G76" i="12"/>
  <c r="G51" i="12"/>
  <c r="H30" i="13"/>
  <c r="R30" i="13" s="1"/>
  <c r="H20" i="13"/>
  <c r="R20" i="13" s="1"/>
  <c r="G31" i="12"/>
  <c r="H15" i="13"/>
  <c r="R15" i="13" s="1"/>
  <c r="H10" i="13"/>
  <c r="R10" i="13" s="1"/>
  <c r="D18" i="13"/>
  <c r="N18" i="13" s="1"/>
  <c r="D7" i="13"/>
  <c r="O7" i="13" s="1"/>
  <c r="D29" i="13"/>
  <c r="O29" i="13" s="1"/>
  <c r="O44" i="13"/>
  <c r="N44" i="13"/>
  <c r="D31" i="13"/>
  <c r="O31" i="13" s="1"/>
  <c r="D8" i="13"/>
  <c r="N8" i="13" s="1"/>
  <c r="D24" i="13"/>
  <c r="O24" i="13" s="1"/>
  <c r="O45" i="13"/>
  <c r="N45" i="13"/>
  <c r="D58" i="13"/>
  <c r="N58" i="13" s="1"/>
  <c r="D53" i="13"/>
  <c r="N53" i="13" s="1"/>
  <c r="B80" i="14"/>
  <c r="C14" i="8" s="1"/>
  <c r="C44" i="6"/>
  <c r="C12" i="8"/>
  <c r="F19" i="17"/>
  <c r="I65" i="13"/>
  <c r="S65" i="13" s="1"/>
  <c r="I60" i="13"/>
  <c r="S60" i="13" s="1"/>
  <c r="I55" i="13"/>
  <c r="S55" i="13" s="1"/>
  <c r="I50" i="13"/>
  <c r="S50" i="13" s="1"/>
  <c r="I35" i="13"/>
  <c r="S35" i="13" s="1"/>
  <c r="I30" i="13"/>
  <c r="S30" i="13" s="1"/>
  <c r="I25" i="13"/>
  <c r="S25" i="13" s="1"/>
  <c r="I45" i="13"/>
  <c r="S45" i="13" s="1"/>
  <c r="I20" i="13"/>
  <c r="S20" i="13" s="1"/>
  <c r="H56" i="12"/>
  <c r="H81" i="12"/>
  <c r="I15" i="13"/>
  <c r="S15" i="13" s="1"/>
  <c r="H66" i="12"/>
  <c r="I10" i="13"/>
  <c r="S10" i="13" s="1"/>
  <c r="I5" i="13"/>
  <c r="S5" i="13" s="1"/>
  <c r="H76" i="12"/>
  <c r="I40" i="13"/>
  <c r="S40" i="13" s="1"/>
  <c r="H86" i="12"/>
  <c r="H71" i="12"/>
  <c r="H51" i="12"/>
  <c r="H46" i="12"/>
  <c r="H41" i="12"/>
  <c r="H36" i="12"/>
  <c r="H31" i="12"/>
  <c r="H61" i="12"/>
  <c r="D62" i="13"/>
  <c r="N62" i="13" s="1"/>
  <c r="C57" i="6" s="1"/>
  <c r="N32" i="13"/>
  <c r="I11" i="8" s="1"/>
  <c r="C14" i="3" s="1"/>
  <c r="O32" i="13"/>
  <c r="D14" i="13"/>
  <c r="O14" i="13" s="1"/>
  <c r="D17" i="13"/>
  <c r="O17" i="13" s="1"/>
  <c r="N43" i="13"/>
  <c r="O43" i="13"/>
  <c r="D60" i="13"/>
  <c r="H57" i="13"/>
  <c r="R57" i="13" s="1"/>
  <c r="H62" i="13"/>
  <c r="R62" i="13" s="1"/>
  <c r="H52" i="13"/>
  <c r="R52" i="13" s="1"/>
  <c r="H47" i="13"/>
  <c r="R47" i="13" s="1"/>
  <c r="H37" i="13"/>
  <c r="R37" i="13" s="1"/>
  <c r="G83" i="12"/>
  <c r="G78" i="12"/>
  <c r="G73" i="12"/>
  <c r="G68" i="12"/>
  <c r="G63" i="12"/>
  <c r="G58" i="12"/>
  <c r="G53" i="12"/>
  <c r="G48" i="12"/>
  <c r="H32" i="13"/>
  <c r="R32" i="13" s="1"/>
  <c r="G43" i="12"/>
  <c r="G38" i="12"/>
  <c r="G33" i="12"/>
  <c r="G28" i="12"/>
  <c r="H12" i="13"/>
  <c r="R12" i="13" s="1"/>
  <c r="H22" i="13"/>
  <c r="R22" i="13" s="1"/>
  <c r="H17" i="13"/>
  <c r="R17" i="13" s="1"/>
  <c r="H7" i="13"/>
  <c r="R7" i="13" s="1"/>
  <c r="H42" i="13"/>
  <c r="R42" i="13" s="1"/>
  <c r="H2" i="13"/>
  <c r="R2" i="13" s="1"/>
  <c r="H27" i="13"/>
  <c r="R27" i="13" s="1"/>
  <c r="C13" i="8"/>
  <c r="F97" i="4"/>
  <c r="D64" i="13"/>
  <c r="N64" i="13" s="1"/>
  <c r="D9" i="13"/>
  <c r="N9" i="13" s="1"/>
  <c r="O51" i="13"/>
  <c r="N51" i="13"/>
  <c r="O46" i="13"/>
  <c r="N46" i="13"/>
  <c r="AC46" i="13" s="1"/>
  <c r="AD46" i="13" s="1"/>
  <c r="D57" i="13"/>
  <c r="O57" i="13" s="1"/>
  <c r="O34" i="13"/>
  <c r="N34" i="13"/>
  <c r="D6" i="13"/>
  <c r="O6" i="13" s="1"/>
  <c r="D63" i="13"/>
  <c r="O63" i="13" s="1"/>
  <c r="C36" i="4"/>
  <c r="M8" i="4" s="1"/>
  <c r="D30" i="13"/>
  <c r="O30" i="13" s="1"/>
  <c r="D20" i="13"/>
  <c r="O20" i="13" s="1"/>
  <c r="D22" i="13"/>
  <c r="D19" i="13"/>
  <c r="N19" i="13" s="1"/>
  <c r="D54" i="13"/>
  <c r="B71" i="14"/>
  <c r="C5" i="8" s="1"/>
  <c r="D16" i="13"/>
  <c r="N16" i="13" s="1"/>
  <c r="O33" i="13"/>
  <c r="N33" i="13"/>
  <c r="O35" i="13"/>
  <c r="N35" i="13"/>
  <c r="D10" i="13"/>
  <c r="N10" i="13" s="1"/>
  <c r="D25" i="13"/>
  <c r="O39" i="13"/>
  <c r="N39" i="13"/>
  <c r="O47" i="13"/>
  <c r="N47" i="13"/>
  <c r="I14" i="8" s="1"/>
  <c r="D66" i="13"/>
  <c r="D61" i="13"/>
  <c r="N61" i="13" s="1"/>
  <c r="E36" i="4"/>
  <c r="G97" i="4"/>
  <c r="D133" i="4"/>
  <c r="D97" i="4"/>
  <c r="C17" i="8"/>
  <c r="D15" i="13"/>
  <c r="O15" i="13" s="1"/>
  <c r="D56" i="13"/>
  <c r="O56" i="13" s="1"/>
  <c r="B13" i="17"/>
  <c r="B15" i="17" s="1"/>
  <c r="D20" i="17"/>
  <c r="D4" i="18" s="1"/>
  <c r="C20" i="17"/>
  <c r="D3" i="18" s="1"/>
  <c r="D19" i="17"/>
  <c r="C4" i="18" s="1"/>
  <c r="B81" i="14"/>
  <c r="C15" i="8" s="1"/>
  <c r="N3" i="13"/>
  <c r="AC3" i="13" s="1"/>
  <c r="D3" i="13"/>
  <c r="O3" i="13"/>
  <c r="D11" i="13"/>
  <c r="O11" i="13" s="1"/>
  <c r="D26" i="13"/>
  <c r="N26" i="13" s="1"/>
  <c r="O40" i="13"/>
  <c r="N40" i="13"/>
  <c r="O48" i="13"/>
  <c r="N48" i="13"/>
  <c r="D52" i="13"/>
  <c r="N52" i="13" s="1"/>
  <c r="I15" i="8" s="1"/>
  <c r="O52" i="13"/>
  <c r="D65" i="13"/>
  <c r="O65" i="13" s="1"/>
  <c r="F5" i="5"/>
  <c r="F69" i="4"/>
  <c r="O37" i="13"/>
  <c r="N37" i="13"/>
  <c r="D2" i="13"/>
  <c r="D21" i="13"/>
  <c r="N21" i="13" s="1"/>
  <c r="D4" i="13"/>
  <c r="N4" i="13" s="1"/>
  <c r="D12" i="13"/>
  <c r="O12" i="13" s="1"/>
  <c r="D27" i="13"/>
  <c r="O27" i="13" s="1"/>
  <c r="O41" i="13"/>
  <c r="N41" i="13"/>
  <c r="O49" i="13"/>
  <c r="N49" i="13"/>
  <c r="D55" i="13"/>
  <c r="N55" i="13" s="1"/>
  <c r="C7" i="8"/>
  <c r="N27" i="13" l="1"/>
  <c r="I10" i="8" s="1"/>
  <c r="N65" i="13"/>
  <c r="AC34" i="13"/>
  <c r="D44" i="6"/>
  <c r="AC50" i="13"/>
  <c r="O4" i="13"/>
  <c r="O19" i="13"/>
  <c r="N63" i="13"/>
  <c r="AC35" i="13"/>
  <c r="AD35" i="13" s="1"/>
  <c r="AC45" i="13"/>
  <c r="O21" i="13"/>
  <c r="AC21" i="13" s="1"/>
  <c r="AC51" i="13"/>
  <c r="H25" i="13"/>
  <c r="R25" i="13" s="1"/>
  <c r="H45" i="13"/>
  <c r="R45" i="13" s="1"/>
  <c r="G86" i="12"/>
  <c r="AC65" i="13"/>
  <c r="G36" i="12"/>
  <c r="G56" i="12"/>
  <c r="H50" i="13"/>
  <c r="R50" i="13" s="1"/>
  <c r="AC49" i="13"/>
  <c r="N12" i="13"/>
  <c r="I7" i="8" s="1"/>
  <c r="AC37" i="13"/>
  <c r="AD37" i="13" s="1"/>
  <c r="AC48" i="13"/>
  <c r="N56" i="13"/>
  <c r="O61" i="13"/>
  <c r="AC61" i="13" s="1"/>
  <c r="J16" i="8" s="1"/>
  <c r="O10" i="13"/>
  <c r="AC10" i="13" s="1"/>
  <c r="N7" i="13"/>
  <c r="I6" i="8" s="1"/>
  <c r="G41" i="12"/>
  <c r="G61" i="12"/>
  <c r="H60" i="13"/>
  <c r="R60" i="13" s="1"/>
  <c r="G46" i="12"/>
  <c r="G66" i="12"/>
  <c r="H65" i="13"/>
  <c r="R65" i="13" s="1"/>
  <c r="AC41" i="13"/>
  <c r="AC40" i="13"/>
  <c r="H5" i="13"/>
  <c r="R5" i="13" s="1"/>
  <c r="H40" i="13"/>
  <c r="R40" i="13" s="1"/>
  <c r="G71" i="12"/>
  <c r="AC32" i="13"/>
  <c r="AD32" i="13" s="1"/>
  <c r="C10" i="5" s="1"/>
  <c r="C11" i="5" s="1"/>
  <c r="AC39" i="13"/>
  <c r="AD39" i="13" s="1"/>
  <c r="AC33" i="13"/>
  <c r="AD33" i="13" s="1"/>
  <c r="N23" i="13"/>
  <c r="AC23" i="13" s="1"/>
  <c r="AC56" i="13"/>
  <c r="AC42" i="13"/>
  <c r="AD42" i="13" s="1"/>
  <c r="O8" i="13"/>
  <c r="AC8" i="13" s="1"/>
  <c r="O13" i="13"/>
  <c r="AC13" i="13" s="1"/>
  <c r="AC4" i="13"/>
  <c r="O9" i="13"/>
  <c r="AC9" i="13" s="1"/>
  <c r="AC27" i="13"/>
  <c r="AC47" i="13"/>
  <c r="AC19" i="13"/>
  <c r="AC63" i="13"/>
  <c r="AC44" i="13"/>
  <c r="AD44" i="13" s="1"/>
  <c r="I17" i="8"/>
  <c r="D14" i="3" s="1"/>
  <c r="AC12" i="13"/>
  <c r="AC7" i="13"/>
  <c r="J11" i="8"/>
  <c r="C15" i="3" s="1"/>
  <c r="AD36" i="13"/>
  <c r="J15" i="8"/>
  <c r="C59" i="6"/>
  <c r="J12" i="8"/>
  <c r="AD41" i="13"/>
  <c r="J4" i="6"/>
  <c r="AD34" i="13"/>
  <c r="AD48" i="13"/>
  <c r="J8" i="8"/>
  <c r="E15" i="3" s="1"/>
  <c r="AD45" i="13"/>
  <c r="J14" i="8"/>
  <c r="AD51" i="13"/>
  <c r="AD38" i="13"/>
  <c r="F54" i="13"/>
  <c r="AB54" i="13"/>
  <c r="D36" i="4"/>
  <c r="H59" i="13"/>
  <c r="R59" i="13" s="1"/>
  <c r="H64" i="13"/>
  <c r="R64" i="13" s="1"/>
  <c r="H54" i="13"/>
  <c r="R54" i="13" s="1"/>
  <c r="H49" i="13"/>
  <c r="R49" i="13" s="1"/>
  <c r="G85" i="12"/>
  <c r="G80" i="12"/>
  <c r="G75" i="12"/>
  <c r="G70" i="12"/>
  <c r="G65" i="12"/>
  <c r="G60" i="12"/>
  <c r="G55" i="12"/>
  <c r="G50" i="12"/>
  <c r="H34" i="13"/>
  <c r="R34" i="13" s="1"/>
  <c r="H14" i="13"/>
  <c r="R14" i="13" s="1"/>
  <c r="G45" i="12"/>
  <c r="G40" i="12"/>
  <c r="G35" i="12"/>
  <c r="G30" i="12"/>
  <c r="H9" i="13"/>
  <c r="R9" i="13" s="1"/>
  <c r="H24" i="13"/>
  <c r="R24" i="13" s="1"/>
  <c r="H4" i="13"/>
  <c r="R4" i="13" s="1"/>
  <c r="H19" i="13"/>
  <c r="R19" i="13" s="1"/>
  <c r="H39" i="13"/>
  <c r="R39" i="13" s="1"/>
  <c r="H29" i="13"/>
  <c r="R29" i="13" s="1"/>
  <c r="H44" i="13"/>
  <c r="R44" i="13" s="1"/>
  <c r="G124" i="4"/>
  <c r="G108" i="4"/>
  <c r="AB25" i="13"/>
  <c r="F25" i="13"/>
  <c r="O54" i="13"/>
  <c r="F6" i="13"/>
  <c r="AB6" i="13"/>
  <c r="F92" i="4"/>
  <c r="F31" i="4" s="1"/>
  <c r="N7" i="4" s="1"/>
  <c r="C6" i="18"/>
  <c r="E126" i="4"/>
  <c r="D126" i="4"/>
  <c r="C126" i="4"/>
  <c r="G126" i="4"/>
  <c r="F126" i="4"/>
  <c r="F11" i="13"/>
  <c r="AB11" i="13"/>
  <c r="O58" i="13"/>
  <c r="AC58" i="13" s="1"/>
  <c r="AB24" i="13"/>
  <c r="F24" i="13"/>
  <c r="F5" i="13"/>
  <c r="AB5" i="13"/>
  <c r="F88" i="4"/>
  <c r="F27" i="4" s="1"/>
  <c r="F72" i="4"/>
  <c r="AD49" i="13"/>
  <c r="N11" i="13"/>
  <c r="AC11" i="13" s="1"/>
  <c r="F66" i="13"/>
  <c r="AB66" i="13"/>
  <c r="D105" i="4" s="1"/>
  <c r="N20" i="13"/>
  <c r="AC20" i="13" s="1"/>
  <c r="AB29" i="13"/>
  <c r="F29" i="13"/>
  <c r="N5" i="13"/>
  <c r="AC5" i="13" s="1"/>
  <c r="E124" i="4"/>
  <c r="E108" i="4"/>
  <c r="AB22" i="13"/>
  <c r="F22" i="13"/>
  <c r="AD47" i="13"/>
  <c r="AB59" i="13"/>
  <c r="F59" i="13"/>
  <c r="F9" i="13"/>
  <c r="AB9" i="13"/>
  <c r="AB61" i="13"/>
  <c r="F61" i="13"/>
  <c r="AB18" i="13"/>
  <c r="F18" i="13"/>
  <c r="G88" i="4"/>
  <c r="G27" i="4" s="1"/>
  <c r="G72" i="4"/>
  <c r="F80" i="4"/>
  <c r="F19" i="4" s="1"/>
  <c r="F8" i="4"/>
  <c r="F15" i="13"/>
  <c r="AB15" i="13"/>
  <c r="G36" i="4"/>
  <c r="O66" i="13"/>
  <c r="F16" i="13"/>
  <c r="AB16" i="13"/>
  <c r="F124" i="4"/>
  <c r="F108" i="4"/>
  <c r="F109" i="4" s="1"/>
  <c r="F114" i="4" s="1"/>
  <c r="AB64" i="13"/>
  <c r="F64" i="13"/>
  <c r="G92" i="4"/>
  <c r="G31" i="4" s="1"/>
  <c r="AC43" i="13"/>
  <c r="F8" i="13"/>
  <c r="AB8" i="13"/>
  <c r="N29" i="13"/>
  <c r="AC29" i="13" s="1"/>
  <c r="O18" i="13"/>
  <c r="AB60" i="13"/>
  <c r="F60" i="13"/>
  <c r="AB55" i="13"/>
  <c r="F55" i="13"/>
  <c r="N22" i="13"/>
  <c r="F2" i="13"/>
  <c r="AB2" i="13"/>
  <c r="F65" i="13"/>
  <c r="AB65" i="13"/>
  <c r="AD65" i="13" s="1"/>
  <c r="N54" i="13"/>
  <c r="AC54" i="13" s="1"/>
  <c r="AB57" i="13"/>
  <c r="F57" i="13"/>
  <c r="I59" i="13"/>
  <c r="S59" i="13" s="1"/>
  <c r="I64" i="13"/>
  <c r="S64" i="13" s="1"/>
  <c r="I54" i="13"/>
  <c r="S54" i="13" s="1"/>
  <c r="I49" i="13"/>
  <c r="S49" i="13" s="1"/>
  <c r="I44" i="13"/>
  <c r="S44" i="13" s="1"/>
  <c r="I34" i="13"/>
  <c r="S34" i="13" s="1"/>
  <c r="I29" i="13"/>
  <c r="S29" i="13" s="1"/>
  <c r="I24" i="13"/>
  <c r="S24" i="13" s="1"/>
  <c r="I9" i="13"/>
  <c r="S9" i="13" s="1"/>
  <c r="H80" i="12"/>
  <c r="I4" i="13"/>
  <c r="S4" i="13" s="1"/>
  <c r="H65" i="12"/>
  <c r="I19" i="13"/>
  <c r="S19" i="13" s="1"/>
  <c r="H50" i="12"/>
  <c r="I39" i="13"/>
  <c r="S39" i="13" s="1"/>
  <c r="H75" i="12"/>
  <c r="H60" i="12"/>
  <c r="H55" i="12"/>
  <c r="H40" i="12"/>
  <c r="H35" i="12"/>
  <c r="H30" i="12"/>
  <c r="H85" i="12"/>
  <c r="H70" i="12"/>
  <c r="H45" i="12"/>
  <c r="I14" i="13"/>
  <c r="S14" i="13" s="1"/>
  <c r="F10" i="13"/>
  <c r="AB10" i="13"/>
  <c r="J13" i="8"/>
  <c r="E92" i="4"/>
  <c r="E31" i="4" s="1"/>
  <c r="N60" i="13"/>
  <c r="N24" i="13"/>
  <c r="AC24" i="13" s="1"/>
  <c r="AD50" i="13"/>
  <c r="F36" i="4"/>
  <c r="N8" i="4" s="1"/>
  <c r="F14" i="13"/>
  <c r="AB14" i="13"/>
  <c r="F27" i="13"/>
  <c r="AB27" i="13"/>
  <c r="AD27" i="13" s="1"/>
  <c r="N2" i="13"/>
  <c r="AC52" i="13"/>
  <c r="AD40" i="13"/>
  <c r="AB21" i="13"/>
  <c r="E105" i="4" s="1"/>
  <c r="F21" i="13"/>
  <c r="I12" i="8"/>
  <c r="C56" i="6"/>
  <c r="D56" i="6" s="1"/>
  <c r="F16" i="5"/>
  <c r="F9" i="5"/>
  <c r="F35" i="5" s="1"/>
  <c r="AB52" i="13"/>
  <c r="F52" i="13"/>
  <c r="F3" i="13"/>
  <c r="AB3" i="13"/>
  <c r="AD3" i="13" s="1"/>
  <c r="C18" i="17"/>
  <c r="B18" i="17"/>
  <c r="E18" i="17"/>
  <c r="D18" i="17"/>
  <c r="F18" i="17"/>
  <c r="B6" i="18" s="1"/>
  <c r="N15" i="13"/>
  <c r="AC15" i="13" s="1"/>
  <c r="O25" i="13"/>
  <c r="AB19" i="13"/>
  <c r="F19" i="13"/>
  <c r="O64" i="13"/>
  <c r="AC64" i="13" s="1"/>
  <c r="D92" i="4"/>
  <c r="D31" i="4" s="1"/>
  <c r="N14" i="13"/>
  <c r="AC14" i="13" s="1"/>
  <c r="F13" i="13"/>
  <c r="AB13" i="13"/>
  <c r="N59" i="13"/>
  <c r="F23" i="13"/>
  <c r="AB23" i="13"/>
  <c r="AD23" i="13" s="1"/>
  <c r="F26" i="13"/>
  <c r="AB26" i="13"/>
  <c r="F30" i="13"/>
  <c r="AB30" i="13"/>
  <c r="E88" i="4"/>
  <c r="E27" i="4" s="1"/>
  <c r="E72" i="4"/>
  <c r="E11" i="4" s="1"/>
  <c r="AB53" i="13"/>
  <c r="F53" i="13"/>
  <c r="F31" i="13"/>
  <c r="AB31" i="13"/>
  <c r="F28" i="13"/>
  <c r="AB28" i="13"/>
  <c r="F111" i="4"/>
  <c r="F110" i="4"/>
  <c r="O60" i="13"/>
  <c r="F58" i="13"/>
  <c r="AB58" i="13"/>
  <c r="N31" i="13"/>
  <c r="AC31" i="13" s="1"/>
  <c r="O55" i="13"/>
  <c r="AC55" i="13" s="1"/>
  <c r="I63" i="13"/>
  <c r="S63" i="13" s="1"/>
  <c r="I58" i="13"/>
  <c r="S58" i="13" s="1"/>
  <c r="I43" i="13"/>
  <c r="S43" i="13" s="1"/>
  <c r="I38" i="13"/>
  <c r="S38" i="13" s="1"/>
  <c r="I33" i="13"/>
  <c r="S33" i="13" s="1"/>
  <c r="I28" i="13"/>
  <c r="S28" i="13" s="1"/>
  <c r="I23" i="13"/>
  <c r="S23" i="13" s="1"/>
  <c r="I53" i="13"/>
  <c r="S53" i="13" s="1"/>
  <c r="H64" i="12"/>
  <c r="I48" i="13"/>
  <c r="S48" i="13" s="1"/>
  <c r="H49" i="12"/>
  <c r="H74" i="12"/>
  <c r="H59" i="12"/>
  <c r="I13" i="13"/>
  <c r="S13" i="13" s="1"/>
  <c r="H84" i="12"/>
  <c r="H69" i="12"/>
  <c r="I3" i="13"/>
  <c r="S3" i="13" s="1"/>
  <c r="H54" i="12"/>
  <c r="H39" i="12"/>
  <c r="H44" i="12"/>
  <c r="I8" i="13"/>
  <c r="S8" i="13" s="1"/>
  <c r="H29" i="12"/>
  <c r="H34" i="12"/>
  <c r="H79" i="12"/>
  <c r="I18" i="13"/>
  <c r="S18" i="13" s="1"/>
  <c r="O22" i="13"/>
  <c r="C92" i="4"/>
  <c r="C31" i="4" s="1"/>
  <c r="M7" i="4" s="1"/>
  <c r="AB17" i="13"/>
  <c r="F17" i="13"/>
  <c r="F62" i="13"/>
  <c r="AB62" i="13"/>
  <c r="C124" i="4"/>
  <c r="C108" i="4"/>
  <c r="C109" i="4" s="1"/>
  <c r="C114" i="4" s="1"/>
  <c r="F4" i="13"/>
  <c r="AB4" i="13"/>
  <c r="AD4" i="13" s="1"/>
  <c r="O2" i="13"/>
  <c r="AB20" i="13"/>
  <c r="F20" i="13"/>
  <c r="N6" i="13"/>
  <c r="AC6" i="13" s="1"/>
  <c r="O62" i="13"/>
  <c r="F12" i="13"/>
  <c r="AB12" i="13"/>
  <c r="O26" i="13"/>
  <c r="AB56" i="13"/>
  <c r="G105" i="4" s="1"/>
  <c r="G116" i="4" s="1"/>
  <c r="F56" i="13"/>
  <c r="N66" i="13"/>
  <c r="AC66" i="13" s="1"/>
  <c r="N25" i="13"/>
  <c r="O16" i="13"/>
  <c r="AC16" i="13" s="1"/>
  <c r="N30" i="13"/>
  <c r="AC30" i="13" s="1"/>
  <c r="AB63" i="13"/>
  <c r="AD63" i="13" s="1"/>
  <c r="F63" i="13"/>
  <c r="N57" i="13"/>
  <c r="N17" i="13"/>
  <c r="C88" i="4"/>
  <c r="C27" i="4" s="1"/>
  <c r="C72" i="4"/>
  <c r="O53" i="13"/>
  <c r="F7" i="13"/>
  <c r="AB7" i="13"/>
  <c r="O59" i="13"/>
  <c r="O28" i="13"/>
  <c r="AC28" i="13" s="1"/>
  <c r="AD21" i="13" l="1"/>
  <c r="AC25" i="13"/>
  <c r="AD19" i="13"/>
  <c r="AD61" i="13"/>
  <c r="AD10" i="13"/>
  <c r="AD9" i="13"/>
  <c r="G109" i="4"/>
  <c r="G114" i="4" s="1"/>
  <c r="AC59" i="13"/>
  <c r="AD59" i="13" s="1"/>
  <c r="AD8" i="13"/>
  <c r="AD13" i="13"/>
  <c r="C60" i="6"/>
  <c r="D59" i="6" s="1"/>
  <c r="J5" i="6"/>
  <c r="J7" i="8"/>
  <c r="AD16" i="13"/>
  <c r="AD55" i="13"/>
  <c r="E15" i="17"/>
  <c r="B4" i="18"/>
  <c r="G11" i="4"/>
  <c r="AD12" i="13"/>
  <c r="B5" i="18"/>
  <c r="F15" i="17"/>
  <c r="AD25" i="13"/>
  <c r="AD52" i="13"/>
  <c r="I16" i="8"/>
  <c r="AC57" i="13"/>
  <c r="J17" i="8"/>
  <c r="D15" i="3" s="1"/>
  <c r="AD66" i="13"/>
  <c r="D88" i="4"/>
  <c r="D27" i="4" s="1"/>
  <c r="D72" i="4"/>
  <c r="D11" i="4" s="1"/>
  <c r="D5" i="5"/>
  <c r="E69" i="4"/>
  <c r="D15" i="17"/>
  <c r="B3" i="18"/>
  <c r="I5" i="8"/>
  <c r="AC2" i="13"/>
  <c r="AD20" i="13"/>
  <c r="I8" i="8"/>
  <c r="E14" i="3" s="1"/>
  <c r="AC17" i="13"/>
  <c r="J5" i="8"/>
  <c r="AD6" i="13"/>
  <c r="AD24" i="13"/>
  <c r="D116" i="4"/>
  <c r="D109" i="4"/>
  <c r="D114" i="4" s="1"/>
  <c r="AC18" i="13"/>
  <c r="C110" i="4"/>
  <c r="C111" i="4"/>
  <c r="AC62" i="13"/>
  <c r="I9" i="8"/>
  <c r="AC22" i="13"/>
  <c r="AD28" i="13"/>
  <c r="AD64" i="13"/>
  <c r="C15" i="17"/>
  <c r="B2" i="18"/>
  <c r="D84" i="4"/>
  <c r="G77" i="4"/>
  <c r="G13" i="5"/>
  <c r="C84" i="4"/>
  <c r="F77" i="4"/>
  <c r="F13" i="5"/>
  <c r="E77" i="4"/>
  <c r="E13" i="5"/>
  <c r="D77" i="4"/>
  <c r="D13" i="5"/>
  <c r="C77" i="4"/>
  <c r="E84" i="4"/>
  <c r="G84" i="4"/>
  <c r="C13" i="5"/>
  <c r="F84" i="4"/>
  <c r="E111" i="4"/>
  <c r="C73" i="4"/>
  <c r="C11" i="4"/>
  <c r="E116" i="4"/>
  <c r="E109" i="4"/>
  <c r="E114" i="4" s="1"/>
  <c r="AC60" i="13"/>
  <c r="AD29" i="13"/>
  <c r="AD54" i="13"/>
  <c r="AD43" i="13"/>
  <c r="AD58" i="13"/>
  <c r="AD5" i="13"/>
  <c r="F10" i="5"/>
  <c r="F11" i="5" s="1"/>
  <c r="AD30" i="13"/>
  <c r="J10" i="8"/>
  <c r="AD31" i="13"/>
  <c r="AD15" i="13"/>
  <c r="F11" i="4"/>
  <c r="F73" i="4"/>
  <c r="AD56" i="13"/>
  <c r="AD14" i="13"/>
  <c r="G56" i="13"/>
  <c r="G113" i="4" s="1"/>
  <c r="G61" i="13"/>
  <c r="V61" i="13" s="1"/>
  <c r="G46" i="13"/>
  <c r="F113" i="4" s="1"/>
  <c r="G51" i="13"/>
  <c r="V51" i="13" s="1"/>
  <c r="G66" i="13"/>
  <c r="D120" i="4" s="1"/>
  <c r="D121" i="4" s="1"/>
  <c r="G41" i="13"/>
  <c r="V41" i="13" s="1"/>
  <c r="G21" i="13"/>
  <c r="G36" i="13"/>
  <c r="G16" i="13"/>
  <c r="V16" i="13" s="1"/>
  <c r="G11" i="13"/>
  <c r="V11" i="13" s="1"/>
  <c r="F87" i="12"/>
  <c r="G26" i="13"/>
  <c r="V26" i="13" s="1"/>
  <c r="G6" i="13"/>
  <c r="V6" i="13" s="1"/>
  <c r="F72" i="12"/>
  <c r="F47" i="12"/>
  <c r="F42" i="12"/>
  <c r="F37" i="12"/>
  <c r="F32" i="12"/>
  <c r="F57" i="12"/>
  <c r="F82" i="12"/>
  <c r="F67" i="12"/>
  <c r="F77" i="12"/>
  <c r="F62" i="12"/>
  <c r="F52" i="12"/>
  <c r="G31" i="13"/>
  <c r="V31" i="13" s="1"/>
  <c r="D6" i="7"/>
  <c r="G5" i="5"/>
  <c r="G69" i="4"/>
  <c r="G73" i="4" s="1"/>
  <c r="V66" i="13"/>
  <c r="D124" i="4"/>
  <c r="D108" i="4"/>
  <c r="J6" i="8"/>
  <c r="AD11" i="13"/>
  <c r="H61" i="13"/>
  <c r="R61" i="13" s="1"/>
  <c r="H56" i="13"/>
  <c r="R56" i="13" s="1"/>
  <c r="H51" i="13"/>
  <c r="R51" i="13" s="1"/>
  <c r="H41" i="13"/>
  <c r="R41" i="13" s="1"/>
  <c r="H46" i="13"/>
  <c r="R46" i="13" s="1"/>
  <c r="H36" i="13"/>
  <c r="R36" i="13" s="1"/>
  <c r="G87" i="12"/>
  <c r="G82" i="12"/>
  <c r="G77" i="12"/>
  <c r="G72" i="12"/>
  <c r="G67" i="12"/>
  <c r="G62" i="12"/>
  <c r="G57" i="12"/>
  <c r="G52" i="12"/>
  <c r="H16" i="13"/>
  <c r="R16" i="13" s="1"/>
  <c r="H66" i="13"/>
  <c r="R66" i="13" s="1"/>
  <c r="H31" i="13"/>
  <c r="R31" i="13" s="1"/>
  <c r="U31" i="13" s="1"/>
  <c r="W31" i="13" s="1"/>
  <c r="X31" i="13" s="1"/>
  <c r="H26" i="13"/>
  <c r="R26" i="13" s="1"/>
  <c r="H6" i="13"/>
  <c r="R6" i="13" s="1"/>
  <c r="G47" i="12"/>
  <c r="G42" i="12"/>
  <c r="G37" i="12"/>
  <c r="G32" i="12"/>
  <c r="H21" i="13"/>
  <c r="R21" i="13" s="1"/>
  <c r="H11" i="13"/>
  <c r="R11" i="13" s="1"/>
  <c r="AC53" i="13"/>
  <c r="AD7" i="13"/>
  <c r="AC26" i="13"/>
  <c r="U41" i="13" l="1"/>
  <c r="W41" i="13" s="1"/>
  <c r="X41" i="13" s="1"/>
  <c r="G118" i="4"/>
  <c r="G115" i="4"/>
  <c r="U6" i="13"/>
  <c r="W6" i="13" s="1"/>
  <c r="Z6" i="13" s="1"/>
  <c r="AA6" i="13" s="1"/>
  <c r="F118" i="4"/>
  <c r="F115" i="4"/>
  <c r="G12" i="4"/>
  <c r="G78" i="4"/>
  <c r="G16" i="4"/>
  <c r="G82" i="4"/>
  <c r="G21" i="4" s="1"/>
  <c r="D82" i="4"/>
  <c r="D21" i="4" s="1"/>
  <c r="D16" i="4"/>
  <c r="D79" i="4"/>
  <c r="D18" i="4" s="1"/>
  <c r="D85" i="4"/>
  <c r="D24" i="4" s="1"/>
  <c r="D23" i="4"/>
  <c r="AD18" i="13"/>
  <c r="U36" i="13"/>
  <c r="C128" i="4"/>
  <c r="F12" i="4"/>
  <c r="F78" i="4"/>
  <c r="F74" i="4"/>
  <c r="Z41" i="13"/>
  <c r="AA41" i="13" s="1"/>
  <c r="AE41" i="13"/>
  <c r="AF41" i="13" s="1"/>
  <c r="E110" i="4"/>
  <c r="U51" i="13"/>
  <c r="W51" i="13" s="1"/>
  <c r="G120" i="4"/>
  <c r="G121" i="4" s="1"/>
  <c r="V56" i="13"/>
  <c r="E18" i="5"/>
  <c r="E19" i="5" s="1"/>
  <c r="E15" i="5"/>
  <c r="G57" i="13"/>
  <c r="G47" i="13"/>
  <c r="G62" i="13"/>
  <c r="G52" i="13"/>
  <c r="G42" i="13"/>
  <c r="G37" i="13"/>
  <c r="G27" i="13"/>
  <c r="G2" i="13"/>
  <c r="F63" i="12"/>
  <c r="F48" i="12"/>
  <c r="F43" i="12"/>
  <c r="F38" i="12"/>
  <c r="F33" i="12"/>
  <c r="F28" i="12"/>
  <c r="F73" i="12"/>
  <c r="G12" i="13"/>
  <c r="F58" i="12"/>
  <c r="G32" i="13"/>
  <c r="G22" i="13"/>
  <c r="G17" i="13"/>
  <c r="G7" i="13"/>
  <c r="F83" i="12"/>
  <c r="F53" i="12"/>
  <c r="F78" i="12"/>
  <c r="F68" i="12"/>
  <c r="C6" i="7"/>
  <c r="AD22" i="13"/>
  <c r="E16" i="4"/>
  <c r="E82" i="4"/>
  <c r="E21" i="4" s="1"/>
  <c r="D110" i="4"/>
  <c r="D111" i="4"/>
  <c r="C16" i="4"/>
  <c r="C82" i="4"/>
  <c r="C21" i="4" s="1"/>
  <c r="G18" i="5"/>
  <c r="G19" i="5" s="1"/>
  <c r="G15" i="5"/>
  <c r="G58" i="13"/>
  <c r="G48" i="13"/>
  <c r="G63" i="13"/>
  <c r="G38" i="13"/>
  <c r="G18" i="13"/>
  <c r="G3" i="13"/>
  <c r="F79" i="12"/>
  <c r="G33" i="13"/>
  <c r="F64" i="12"/>
  <c r="F44" i="12"/>
  <c r="F39" i="12"/>
  <c r="F34" i="12"/>
  <c r="F29" i="12"/>
  <c r="F49" i="12"/>
  <c r="F74" i="12"/>
  <c r="F59" i="12"/>
  <c r="G28" i="13"/>
  <c r="G8" i="13"/>
  <c r="G53" i="13"/>
  <c r="F69" i="12"/>
  <c r="G43" i="13"/>
  <c r="F84" i="12"/>
  <c r="G23" i="13"/>
  <c r="F54" i="12"/>
  <c r="G13" i="13"/>
  <c r="D18" i="5"/>
  <c r="D19" i="5" s="1"/>
  <c r="D15" i="5"/>
  <c r="U56" i="13"/>
  <c r="G128" i="4"/>
  <c r="F85" i="4"/>
  <c r="F24" i="4" s="1"/>
  <c r="F23" i="4"/>
  <c r="J9" i="8"/>
  <c r="AD26" i="13"/>
  <c r="U11" i="13"/>
  <c r="W11" i="13" s="1"/>
  <c r="Z31" i="13"/>
  <c r="AA31" i="13" s="1"/>
  <c r="AE31" i="13"/>
  <c r="AF31" i="13" s="1"/>
  <c r="F10" i="8" s="1"/>
  <c r="U61" i="13"/>
  <c r="W61" i="13" s="1"/>
  <c r="E120" i="4"/>
  <c r="E121" i="4" s="1"/>
  <c r="V21" i="13"/>
  <c r="G111" i="4"/>
  <c r="G110" i="4"/>
  <c r="C18" i="5"/>
  <c r="C15" i="5"/>
  <c r="F18" i="5"/>
  <c r="F19" i="5" s="1"/>
  <c r="F15" i="5"/>
  <c r="X6" i="13"/>
  <c r="AD17" i="13"/>
  <c r="E8" i="4"/>
  <c r="E80" i="4"/>
  <c r="E19" i="4" s="1"/>
  <c r="E73" i="4"/>
  <c r="G60" i="13"/>
  <c r="G50" i="13"/>
  <c r="G45" i="13"/>
  <c r="G65" i="13"/>
  <c r="G55" i="13"/>
  <c r="G40" i="13"/>
  <c r="G35" i="13"/>
  <c r="G20" i="13"/>
  <c r="F71" i="12"/>
  <c r="F56" i="12"/>
  <c r="F46" i="12"/>
  <c r="F41" i="12"/>
  <c r="F36" i="12"/>
  <c r="F31" i="12"/>
  <c r="G30" i="13"/>
  <c r="G25" i="13"/>
  <c r="F81" i="12"/>
  <c r="F66" i="12"/>
  <c r="G15" i="13"/>
  <c r="F61" i="12"/>
  <c r="F86" i="12"/>
  <c r="F51" i="12"/>
  <c r="G5" i="13"/>
  <c r="F76" i="12"/>
  <c r="G10" i="13"/>
  <c r="G59" i="13"/>
  <c r="G49" i="13"/>
  <c r="G44" i="13"/>
  <c r="G64" i="13"/>
  <c r="G39" i="13"/>
  <c r="G34" i="13"/>
  <c r="F55" i="12"/>
  <c r="G14" i="13"/>
  <c r="F80" i="12"/>
  <c r="F45" i="12"/>
  <c r="F40" i="12"/>
  <c r="F35" i="12"/>
  <c r="F30" i="12"/>
  <c r="G9" i="13"/>
  <c r="F65" i="12"/>
  <c r="G54" i="13"/>
  <c r="G24" i="13"/>
  <c r="G4" i="13"/>
  <c r="G19" i="13"/>
  <c r="F75" i="12"/>
  <c r="F70" i="12"/>
  <c r="G29" i="13"/>
  <c r="F50" i="12"/>
  <c r="F85" i="12"/>
  <c r="F60" i="12"/>
  <c r="F82" i="4"/>
  <c r="F21" i="4" s="1"/>
  <c r="F16" i="4"/>
  <c r="AD62" i="13"/>
  <c r="D113" i="4"/>
  <c r="D118" i="4" s="1"/>
  <c r="AD2" i="13"/>
  <c r="D9" i="5"/>
  <c r="D35" i="5" s="1"/>
  <c r="D16" i="5"/>
  <c r="G74" i="4"/>
  <c r="G8" i="4"/>
  <c r="G80" i="4"/>
  <c r="G19" i="4" s="1"/>
  <c r="U46" i="13"/>
  <c r="F128" i="4"/>
  <c r="G16" i="5"/>
  <c r="G9" i="5"/>
  <c r="G35" i="5" s="1"/>
  <c r="F120" i="4"/>
  <c r="F121" i="4" s="1"/>
  <c r="V46" i="13"/>
  <c r="E113" i="4"/>
  <c r="E118" i="4" s="1"/>
  <c r="AD53" i="13"/>
  <c r="U26" i="13"/>
  <c r="W26" i="13" s="1"/>
  <c r="C120" i="4"/>
  <c r="C121" i="4" s="1"/>
  <c r="V36" i="13"/>
  <c r="U21" i="13"/>
  <c r="E128" i="4"/>
  <c r="U66" i="13"/>
  <c r="W66" i="13" s="1"/>
  <c r="D128" i="4"/>
  <c r="G85" i="4"/>
  <c r="G24" i="4" s="1"/>
  <c r="G23" i="4"/>
  <c r="U16" i="13"/>
  <c r="W16" i="13" s="1"/>
  <c r="AD60" i="13"/>
  <c r="C12" i="4"/>
  <c r="C78" i="4"/>
  <c r="C74" i="4"/>
  <c r="E85" i="4"/>
  <c r="E24" i="4" s="1"/>
  <c r="E23" i="4"/>
  <c r="C85" i="4"/>
  <c r="C24" i="4" s="1"/>
  <c r="C23" i="4"/>
  <c r="C113" i="4"/>
  <c r="AD57" i="13"/>
  <c r="W21" i="13" l="1"/>
  <c r="AE6" i="13"/>
  <c r="AF6" i="13" s="1"/>
  <c r="F5" i="8" s="1"/>
  <c r="E20" i="5"/>
  <c r="E23" i="5" s="1"/>
  <c r="E27" i="5" s="1"/>
  <c r="K10" i="8"/>
  <c r="L10" i="8"/>
  <c r="G20" i="5"/>
  <c r="G23" i="5" s="1"/>
  <c r="G27" i="5" s="1"/>
  <c r="U42" i="13"/>
  <c r="V42" i="13"/>
  <c r="C79" i="4"/>
  <c r="C18" i="4" s="1"/>
  <c r="C17" i="4"/>
  <c r="V19" i="13"/>
  <c r="U19" i="13"/>
  <c r="V44" i="13"/>
  <c r="U44" i="13"/>
  <c r="V65" i="13"/>
  <c r="U65" i="13"/>
  <c r="W56" i="13"/>
  <c r="V43" i="13"/>
  <c r="U43" i="13"/>
  <c r="U18" i="13"/>
  <c r="V18" i="13"/>
  <c r="V17" i="13"/>
  <c r="U17" i="13"/>
  <c r="V52" i="13"/>
  <c r="U52" i="13"/>
  <c r="F75" i="4"/>
  <c r="F14" i="4" s="1"/>
  <c r="N5" i="4" s="1"/>
  <c r="F13" i="4"/>
  <c r="U64" i="13"/>
  <c r="V64" i="13"/>
  <c r="V3" i="13"/>
  <c r="U3" i="13"/>
  <c r="V15" i="13"/>
  <c r="U15" i="13"/>
  <c r="V38" i="13"/>
  <c r="U38" i="13"/>
  <c r="AE51" i="13"/>
  <c r="AF51" i="13" s="1"/>
  <c r="F14" i="8" s="1"/>
  <c r="Z51" i="13"/>
  <c r="AA51" i="13" s="1"/>
  <c r="X51" i="13"/>
  <c r="G75" i="4"/>
  <c r="G14" i="4" s="1"/>
  <c r="G13" i="4"/>
  <c r="D115" i="4"/>
  <c r="V24" i="13"/>
  <c r="U24" i="13"/>
  <c r="U59" i="13"/>
  <c r="V59" i="13"/>
  <c r="U50" i="13"/>
  <c r="V50" i="13"/>
  <c r="D20" i="5"/>
  <c r="D23" i="5" s="1"/>
  <c r="D27" i="5" s="1"/>
  <c r="U53" i="13"/>
  <c r="V53" i="13"/>
  <c r="V63" i="13"/>
  <c r="U63" i="13"/>
  <c r="V32" i="13"/>
  <c r="U32" i="13"/>
  <c r="V47" i="13"/>
  <c r="U47" i="13"/>
  <c r="G17" i="4"/>
  <c r="G79" i="4"/>
  <c r="G18" i="4" s="1"/>
  <c r="U37" i="13"/>
  <c r="V37" i="13"/>
  <c r="C75" i="4"/>
  <c r="C14" i="4" s="1"/>
  <c r="M5" i="4" s="1"/>
  <c r="C13" i="4"/>
  <c r="U22" i="13"/>
  <c r="V22" i="13"/>
  <c r="U62" i="13"/>
  <c r="V62" i="13"/>
  <c r="F17" i="4"/>
  <c r="F79" i="4"/>
  <c r="F18" i="4" s="1"/>
  <c r="C118" i="4"/>
  <c r="C115" i="4"/>
  <c r="Z66" i="13"/>
  <c r="AA66" i="13" s="1"/>
  <c r="AE66" i="13"/>
  <c r="AF66" i="13" s="1"/>
  <c r="D122" i="4"/>
  <c r="X66" i="13"/>
  <c r="W46" i="13"/>
  <c r="G10" i="5"/>
  <c r="G11" i="5" s="1"/>
  <c r="G28" i="5" s="1"/>
  <c r="E10" i="5"/>
  <c r="E11" i="5" s="1"/>
  <c r="D74" i="4"/>
  <c r="V54" i="13"/>
  <c r="U54" i="13"/>
  <c r="V14" i="13"/>
  <c r="U14" i="13"/>
  <c r="U10" i="13"/>
  <c r="V10" i="13"/>
  <c r="U60" i="13"/>
  <c r="V60" i="13"/>
  <c r="F20" i="5"/>
  <c r="F23" i="5" s="1"/>
  <c r="F27" i="5" s="1"/>
  <c r="F28" i="5" s="1"/>
  <c r="V8" i="13"/>
  <c r="U8" i="13"/>
  <c r="V48" i="13"/>
  <c r="U48" i="13"/>
  <c r="V57" i="13"/>
  <c r="U57" i="13"/>
  <c r="V39" i="13"/>
  <c r="U39" i="13"/>
  <c r="U40" i="13"/>
  <c r="V40" i="13"/>
  <c r="C31" i="6"/>
  <c r="C52" i="6"/>
  <c r="F12" i="8"/>
  <c r="E74" i="4"/>
  <c r="D10" i="5"/>
  <c r="D11" i="5" s="1"/>
  <c r="Z26" i="13"/>
  <c r="AA26" i="13" s="1"/>
  <c r="AE26" i="13"/>
  <c r="AF26" i="13" s="1"/>
  <c r="F9" i="8" s="1"/>
  <c r="X26" i="13"/>
  <c r="V4" i="13"/>
  <c r="U4" i="13"/>
  <c r="V49" i="13"/>
  <c r="U49" i="13"/>
  <c r="V45" i="13"/>
  <c r="U45" i="13"/>
  <c r="Z16" i="13"/>
  <c r="AA16" i="13" s="1"/>
  <c r="AE16" i="13"/>
  <c r="AF16" i="13" s="1"/>
  <c r="F7" i="8" s="1"/>
  <c r="X16" i="13"/>
  <c r="E115" i="4"/>
  <c r="U25" i="13"/>
  <c r="V25" i="13"/>
  <c r="U20" i="13"/>
  <c r="V20" i="13"/>
  <c r="E12" i="4"/>
  <c r="E78" i="4"/>
  <c r="AE61" i="13"/>
  <c r="AF61" i="13" s="1"/>
  <c r="F16" i="8" s="1"/>
  <c r="Z61" i="13"/>
  <c r="AA61" i="13" s="1"/>
  <c r="X61" i="13"/>
  <c r="V13" i="13"/>
  <c r="U13" i="13"/>
  <c r="U28" i="13"/>
  <c r="V28" i="13"/>
  <c r="U58" i="13"/>
  <c r="V58" i="13"/>
  <c r="V12" i="13"/>
  <c r="U12" i="13"/>
  <c r="U2" i="13"/>
  <c r="V2" i="13"/>
  <c r="V23" i="13"/>
  <c r="U23" i="13"/>
  <c r="W23" i="13" s="1"/>
  <c r="U55" i="13"/>
  <c r="V55" i="13"/>
  <c r="AE11" i="13"/>
  <c r="AF11" i="13" s="1"/>
  <c r="F6" i="8" s="1"/>
  <c r="Z11" i="13"/>
  <c r="AA11" i="13" s="1"/>
  <c r="X11" i="13"/>
  <c r="U7" i="13"/>
  <c r="V7" i="13"/>
  <c r="Z21" i="13"/>
  <c r="AA21" i="13" s="1"/>
  <c r="AE21" i="13"/>
  <c r="AF21" i="13" s="1"/>
  <c r="E122" i="4"/>
  <c r="X21" i="13"/>
  <c r="V29" i="13"/>
  <c r="U29" i="13"/>
  <c r="V9" i="13"/>
  <c r="U9" i="13"/>
  <c r="V34" i="13"/>
  <c r="U34" i="13"/>
  <c r="V5" i="13"/>
  <c r="U5" i="13"/>
  <c r="V30" i="13"/>
  <c r="U30" i="13"/>
  <c r="U35" i="13"/>
  <c r="V35" i="13"/>
  <c r="C36" i="5"/>
  <c r="C19" i="5"/>
  <c r="C20" i="5" s="1"/>
  <c r="C23" i="5" s="1"/>
  <c r="V33" i="13"/>
  <c r="U33" i="13"/>
  <c r="K5" i="8"/>
  <c r="L5" i="8"/>
  <c r="U27" i="13"/>
  <c r="V27" i="13"/>
  <c r="W36" i="13"/>
  <c r="W3" i="13" l="1"/>
  <c r="W17" i="13"/>
  <c r="W62" i="13"/>
  <c r="W53" i="13"/>
  <c r="W40" i="13"/>
  <c r="W47" i="13"/>
  <c r="W4" i="13"/>
  <c r="X4" i="13" s="1"/>
  <c r="W24" i="13"/>
  <c r="W38" i="13"/>
  <c r="W43" i="13"/>
  <c r="W20" i="13"/>
  <c r="X20" i="13" s="1"/>
  <c r="W32" i="13"/>
  <c r="Z32" i="13" s="1"/>
  <c r="AA32" i="13" s="1"/>
  <c r="W50" i="13"/>
  <c r="E28" i="5"/>
  <c r="W64" i="13"/>
  <c r="X64" i="13" s="1"/>
  <c r="C53" i="6"/>
  <c r="C54" i="6" s="1"/>
  <c r="D52" i="6" s="1"/>
  <c r="D31" i="6"/>
  <c r="W9" i="13"/>
  <c r="W39" i="13"/>
  <c r="D28" i="5"/>
  <c r="W2" i="13"/>
  <c r="W57" i="13"/>
  <c r="W60" i="13"/>
  <c r="AE60" i="13" s="1"/>
  <c r="AF60" i="13" s="1"/>
  <c r="W44" i="13"/>
  <c r="AE44" i="13" s="1"/>
  <c r="AF44" i="13" s="1"/>
  <c r="E13" i="8" s="1"/>
  <c r="W37" i="13"/>
  <c r="AE37" i="13" s="1"/>
  <c r="AF37" i="13" s="1"/>
  <c r="W19" i="13"/>
  <c r="AE19" i="13" s="1"/>
  <c r="AF19" i="13" s="1"/>
  <c r="E8" i="8" s="1"/>
  <c r="W14" i="13"/>
  <c r="W34" i="13"/>
  <c r="X34" i="13" s="1"/>
  <c r="W15" i="13"/>
  <c r="E129" i="4"/>
  <c r="E125" i="4"/>
  <c r="L16" i="8"/>
  <c r="K16" i="8"/>
  <c r="L7" i="8"/>
  <c r="K7" i="8"/>
  <c r="W48" i="13"/>
  <c r="W10" i="13"/>
  <c r="W63" i="13"/>
  <c r="W59" i="13"/>
  <c r="W65" i="13"/>
  <c r="AE50" i="13"/>
  <c r="AF50" i="13" s="1"/>
  <c r="Z50" i="13"/>
  <c r="AA50" i="13" s="1"/>
  <c r="X50" i="13"/>
  <c r="Z56" i="13"/>
  <c r="AA56" i="13" s="1"/>
  <c r="AE56" i="13"/>
  <c r="AF56" i="13" s="1"/>
  <c r="D7" i="7" s="1"/>
  <c r="D8" i="7" s="1"/>
  <c r="B11" i="7" s="1"/>
  <c r="G122" i="4"/>
  <c r="X56" i="13"/>
  <c r="E130" i="4"/>
  <c r="F8" i="8"/>
  <c r="W27" i="13"/>
  <c r="W35" i="13"/>
  <c r="W7" i="13"/>
  <c r="W28" i="13"/>
  <c r="W8" i="13"/>
  <c r="Z38" i="13"/>
  <c r="AA38" i="13" s="1"/>
  <c r="AE38" i="13"/>
  <c r="AF38" i="13" s="1"/>
  <c r="C28" i="6" s="1"/>
  <c r="X38" i="13"/>
  <c r="W42" i="13"/>
  <c r="C86" i="4"/>
  <c r="X32" i="13"/>
  <c r="L9" i="8"/>
  <c r="K9" i="8"/>
  <c r="W58" i="13"/>
  <c r="AE9" i="13"/>
  <c r="AF9" i="13" s="1"/>
  <c r="E6" i="8" s="1"/>
  <c r="Z9" i="13"/>
  <c r="AA9" i="13" s="1"/>
  <c r="X9" i="13"/>
  <c r="Z37" i="13"/>
  <c r="AA37" i="13" s="1"/>
  <c r="X37" i="13"/>
  <c r="W30" i="13"/>
  <c r="W29" i="13"/>
  <c r="W13" i="13"/>
  <c r="AE20" i="13"/>
  <c r="AF20" i="13" s="1"/>
  <c r="W45" i="13"/>
  <c r="AE40" i="13"/>
  <c r="AF40" i="13" s="1"/>
  <c r="C30" i="6" s="1"/>
  <c r="Z40" i="13"/>
  <c r="AA40" i="13" s="1"/>
  <c r="X40" i="13"/>
  <c r="W54" i="13"/>
  <c r="D129" i="4"/>
  <c r="D125" i="4"/>
  <c r="AE62" i="13"/>
  <c r="AF62" i="13" s="1"/>
  <c r="Z62" i="13"/>
  <c r="AA62" i="13" s="1"/>
  <c r="D86" i="4"/>
  <c r="X62" i="13"/>
  <c r="AE53" i="13"/>
  <c r="AF53" i="13" s="1"/>
  <c r="Z53" i="13"/>
  <c r="AA53" i="13" s="1"/>
  <c r="X53" i="13"/>
  <c r="W18" i="13"/>
  <c r="L12" i="8"/>
  <c r="K12" i="8"/>
  <c r="Z17" i="13"/>
  <c r="AA17" i="13" s="1"/>
  <c r="AE17" i="13"/>
  <c r="AF17" i="13" s="1"/>
  <c r="E86" i="4"/>
  <c r="X17" i="13"/>
  <c r="Z36" i="13"/>
  <c r="AA36" i="13" s="1"/>
  <c r="AE36" i="13"/>
  <c r="AF36" i="13" s="1"/>
  <c r="C122" i="4"/>
  <c r="X36" i="13"/>
  <c r="E79" i="4"/>
  <c r="E18" i="4" s="1"/>
  <c r="E17" i="4"/>
  <c r="Z23" i="13"/>
  <c r="AA23" i="13" s="1"/>
  <c r="AE23" i="13"/>
  <c r="AF23" i="13" s="1"/>
  <c r="X23" i="13"/>
  <c r="AE14" i="13"/>
  <c r="AF14" i="13" s="1"/>
  <c r="E7" i="8" s="1"/>
  <c r="Z14" i="13"/>
  <c r="AA14" i="13" s="1"/>
  <c r="X14" i="13"/>
  <c r="AE46" i="13"/>
  <c r="AF46" i="13" s="1"/>
  <c r="Z46" i="13"/>
  <c r="AA46" i="13" s="1"/>
  <c r="F122" i="4"/>
  <c r="X46" i="13"/>
  <c r="Z24" i="13"/>
  <c r="AA24" i="13" s="1"/>
  <c r="AE24" i="13"/>
  <c r="AF24" i="13" s="1"/>
  <c r="E9" i="8" s="1"/>
  <c r="X24" i="13"/>
  <c r="AE2" i="13"/>
  <c r="AF2" i="13" s="1"/>
  <c r="Z2" i="13"/>
  <c r="AA2" i="13" s="1"/>
  <c r="X2" i="13"/>
  <c r="AE39" i="13"/>
  <c r="AF39" i="13" s="1"/>
  <c r="Z39" i="13"/>
  <c r="AA39" i="13" s="1"/>
  <c r="X39" i="13"/>
  <c r="D130" i="4"/>
  <c r="F17" i="8"/>
  <c r="AE47" i="13"/>
  <c r="AF47" i="13" s="1"/>
  <c r="Z47" i="13"/>
  <c r="AA47" i="13" s="1"/>
  <c r="X47" i="13"/>
  <c r="Z15" i="13"/>
  <c r="AA15" i="13" s="1"/>
  <c r="AE15" i="13"/>
  <c r="AF15" i="13" s="1"/>
  <c r="X15" i="13"/>
  <c r="AE43" i="13"/>
  <c r="AF43" i="13" s="1"/>
  <c r="Z43" i="13"/>
  <c r="AA43" i="13" s="1"/>
  <c r="X43" i="13"/>
  <c r="Z19" i="13"/>
  <c r="AA19" i="13" s="1"/>
  <c r="X19" i="13"/>
  <c r="Z57" i="13"/>
  <c r="AA57" i="13" s="1"/>
  <c r="AE57" i="13"/>
  <c r="AF57" i="13" s="1"/>
  <c r="X57" i="13"/>
  <c r="AE3" i="13"/>
  <c r="AF3" i="13" s="1"/>
  <c r="Z3" i="13"/>
  <c r="AA3" i="13" s="1"/>
  <c r="X3" i="13"/>
  <c r="C31" i="5"/>
  <c r="C27" i="5"/>
  <c r="C28" i="5" s="1"/>
  <c r="Z34" i="13"/>
  <c r="AA34" i="13" s="1"/>
  <c r="AE34" i="13"/>
  <c r="AF34" i="13" s="1"/>
  <c r="E11" i="8" s="1"/>
  <c r="W55" i="13"/>
  <c r="AE4" i="13"/>
  <c r="AF4" i="13" s="1"/>
  <c r="E5" i="8" s="1"/>
  <c r="Z4" i="13"/>
  <c r="AA4" i="13" s="1"/>
  <c r="L14" i="8"/>
  <c r="K14" i="8"/>
  <c r="W33" i="13"/>
  <c r="W5" i="13"/>
  <c r="L6" i="8"/>
  <c r="K6" i="8"/>
  <c r="W12" i="13"/>
  <c r="W25" i="13"/>
  <c r="W49" i="13"/>
  <c r="E75" i="4"/>
  <c r="E14" i="4" s="1"/>
  <c r="E13" i="4"/>
  <c r="D13" i="4"/>
  <c r="D75" i="4"/>
  <c r="D14" i="4" s="1"/>
  <c r="W22" i="13"/>
  <c r="W52" i="13"/>
  <c r="X44" i="13" l="1"/>
  <c r="Z64" i="13"/>
  <c r="AA64" i="13" s="1"/>
  <c r="AE64" i="13"/>
  <c r="AF64" i="13" s="1"/>
  <c r="AE32" i="13"/>
  <c r="AF32" i="13" s="1"/>
  <c r="C41" i="4" s="1"/>
  <c r="Z20" i="13"/>
  <c r="AA20" i="13" s="1"/>
  <c r="Z44" i="13"/>
  <c r="AA44" i="13" s="1"/>
  <c r="D27" i="6"/>
  <c r="X60" i="13"/>
  <c r="Z60" i="13"/>
  <c r="AA60" i="13" s="1"/>
  <c r="E17" i="8"/>
  <c r="D29" i="6"/>
  <c r="Z5" i="13"/>
  <c r="AA5" i="13" s="1"/>
  <c r="AE5" i="13"/>
  <c r="AF5" i="13" s="1"/>
  <c r="X5" i="13"/>
  <c r="C130" i="4"/>
  <c r="F11" i="8"/>
  <c r="C33" i="5"/>
  <c r="C94" i="4"/>
  <c r="C33" i="4" s="1"/>
  <c r="M4" i="4" s="1"/>
  <c r="D11" i="8"/>
  <c r="Z27" i="13"/>
  <c r="AA27" i="13" s="1"/>
  <c r="AE27" i="13"/>
  <c r="AF27" i="13" s="1"/>
  <c r="X27" i="13"/>
  <c r="D16" i="8"/>
  <c r="AE48" i="13"/>
  <c r="AF48" i="13" s="1"/>
  <c r="Z48" i="13"/>
  <c r="AA48" i="13" s="1"/>
  <c r="X48" i="13"/>
  <c r="AE54" i="13"/>
  <c r="AF54" i="13" s="1"/>
  <c r="E15" i="8" s="1"/>
  <c r="Z54" i="13"/>
  <c r="AA54" i="13" s="1"/>
  <c r="X54" i="13"/>
  <c r="Z13" i="13"/>
  <c r="AA13" i="13" s="1"/>
  <c r="AE13" i="13"/>
  <c r="AF13" i="13" s="1"/>
  <c r="X13" i="13"/>
  <c r="Z10" i="13"/>
  <c r="AA10" i="13" s="1"/>
  <c r="AE10" i="13"/>
  <c r="AF10" i="13" s="1"/>
  <c r="X10" i="13"/>
  <c r="Z33" i="13"/>
  <c r="AA33" i="13" s="1"/>
  <c r="AE33" i="13"/>
  <c r="AF33" i="13" s="1"/>
  <c r="X33" i="13"/>
  <c r="Z58" i="13"/>
  <c r="AA58" i="13" s="1"/>
  <c r="AE58" i="13"/>
  <c r="AF58" i="13" s="1"/>
  <c r="X58" i="13"/>
  <c r="E41" i="4"/>
  <c r="D33" i="5"/>
  <c r="E94" i="4"/>
  <c r="E33" i="4" s="1"/>
  <c r="D8" i="8"/>
  <c r="Z30" i="13"/>
  <c r="AA30" i="13" s="1"/>
  <c r="AE30" i="13"/>
  <c r="AF30" i="13" s="1"/>
  <c r="X30" i="13"/>
  <c r="Z8" i="13"/>
  <c r="AA8" i="13" s="1"/>
  <c r="AE8" i="13"/>
  <c r="AF8" i="13" s="1"/>
  <c r="X8" i="13"/>
  <c r="L8" i="8"/>
  <c r="K8" i="8"/>
  <c r="E16" i="3" s="1"/>
  <c r="AE49" i="13"/>
  <c r="AF49" i="13" s="1"/>
  <c r="E14" i="8" s="1"/>
  <c r="Z49" i="13"/>
  <c r="AA49" i="13" s="1"/>
  <c r="X49" i="13"/>
  <c r="E12" i="8"/>
  <c r="C29" i="6"/>
  <c r="E93" i="4"/>
  <c r="E32" i="4" s="1"/>
  <c r="E25" i="4"/>
  <c r="E89" i="4"/>
  <c r="E28" i="4" s="1"/>
  <c r="F130" i="4"/>
  <c r="F13" i="8"/>
  <c r="D93" i="4"/>
  <c r="D32" i="4" s="1"/>
  <c r="D25" i="4"/>
  <c r="D89" i="4"/>
  <c r="D28" i="4" s="1"/>
  <c r="AE42" i="13"/>
  <c r="AF42" i="13" s="1"/>
  <c r="Z42" i="13"/>
  <c r="AA42" i="13" s="1"/>
  <c r="F86" i="4"/>
  <c r="X42" i="13"/>
  <c r="Z28" i="13"/>
  <c r="AA28" i="13" s="1"/>
  <c r="AE28" i="13"/>
  <c r="AF28" i="13" s="1"/>
  <c r="X28" i="13"/>
  <c r="Z65" i="13"/>
  <c r="AA65" i="13" s="1"/>
  <c r="AE65" i="13"/>
  <c r="AF65" i="13" s="1"/>
  <c r="D30" i="6" s="1"/>
  <c r="X65" i="13"/>
  <c r="G130" i="4"/>
  <c r="F15" i="8"/>
  <c r="F129" i="4"/>
  <c r="F125" i="4"/>
  <c r="Z29" i="13"/>
  <c r="AA29" i="13" s="1"/>
  <c r="AE29" i="13"/>
  <c r="AF29" i="13" s="1"/>
  <c r="E10" i="8" s="1"/>
  <c r="X29" i="13"/>
  <c r="Z25" i="13"/>
  <c r="AA25" i="13" s="1"/>
  <c r="AE25" i="13"/>
  <c r="AF25" i="13" s="1"/>
  <c r="X25" i="13"/>
  <c r="AE52" i="13"/>
  <c r="AF52" i="13" s="1"/>
  <c r="C7" i="7" s="1"/>
  <c r="C8" i="7" s="1"/>
  <c r="Z52" i="13"/>
  <c r="AA52" i="13" s="1"/>
  <c r="G86" i="4"/>
  <c r="X52" i="13"/>
  <c r="AE12" i="13"/>
  <c r="AF12" i="13" s="1"/>
  <c r="Z12" i="13"/>
  <c r="AA12" i="13" s="1"/>
  <c r="X12" i="13"/>
  <c r="Z22" i="13"/>
  <c r="AA22" i="13" s="1"/>
  <c r="AE22" i="13"/>
  <c r="AF22" i="13" s="1"/>
  <c r="X22" i="13"/>
  <c r="H14" i="8"/>
  <c r="G14" i="8"/>
  <c r="M14" i="8" s="1"/>
  <c r="D14" i="8"/>
  <c r="H5" i="8"/>
  <c r="G5" i="8"/>
  <c r="M5" i="8" s="1"/>
  <c r="D5" i="8"/>
  <c r="AE45" i="13"/>
  <c r="AF45" i="13" s="1"/>
  <c r="Z45" i="13"/>
  <c r="AA45" i="13" s="1"/>
  <c r="X45" i="13"/>
  <c r="C27" i="6"/>
  <c r="D12" i="8"/>
  <c r="C47" i="6"/>
  <c r="G12" i="8"/>
  <c r="M12" i="8" s="1"/>
  <c r="H12" i="8"/>
  <c r="AE7" i="13"/>
  <c r="AF7" i="13" s="1"/>
  <c r="Z7" i="13"/>
  <c r="AA7" i="13" s="1"/>
  <c r="X7" i="13"/>
  <c r="AE59" i="13"/>
  <c r="AF59" i="13" s="1"/>
  <c r="E16" i="8" s="1"/>
  <c r="Z59" i="13"/>
  <c r="AA59" i="13" s="1"/>
  <c r="X59" i="13"/>
  <c r="Z18" i="13"/>
  <c r="AA18" i="13" s="1"/>
  <c r="AE18" i="13"/>
  <c r="AF18" i="13" s="1"/>
  <c r="H8" i="8" s="1"/>
  <c r="E4" i="3" s="1"/>
  <c r="E11" i="3" s="1"/>
  <c r="X18" i="13"/>
  <c r="AE55" i="13"/>
  <c r="AF55" i="13" s="1"/>
  <c r="Z55" i="13"/>
  <c r="AA55" i="13" s="1"/>
  <c r="X55" i="13"/>
  <c r="L17" i="8"/>
  <c r="K17" i="8"/>
  <c r="D16" i="3" s="1"/>
  <c r="C129" i="4"/>
  <c r="C125" i="4"/>
  <c r="E33" i="5"/>
  <c r="D41" i="4"/>
  <c r="D94" i="4"/>
  <c r="D33" i="4" s="1"/>
  <c r="D17" i="8"/>
  <c r="C89" i="4"/>
  <c r="C28" i="4" s="1"/>
  <c r="M6" i="4" s="1"/>
  <c r="C93" i="4"/>
  <c r="C32" i="4" s="1"/>
  <c r="C25" i="4"/>
  <c r="Z35" i="13"/>
  <c r="AA35" i="13" s="1"/>
  <c r="AE35" i="13"/>
  <c r="AF35" i="13" s="1"/>
  <c r="X35" i="13"/>
  <c r="G125" i="4"/>
  <c r="G129" i="4"/>
  <c r="AE63" i="13"/>
  <c r="AF63" i="13" s="1"/>
  <c r="G17" i="8" s="1"/>
  <c r="M17" i="8" s="1"/>
  <c r="Z63" i="13"/>
  <c r="AA63" i="13" s="1"/>
  <c r="X63" i="13"/>
  <c r="H11" i="8" l="1"/>
  <c r="C4" i="3" s="1"/>
  <c r="C11" i="3" s="1"/>
  <c r="G11" i="8"/>
  <c r="C53" i="5" s="1"/>
  <c r="H16" i="8"/>
  <c r="G16" i="8"/>
  <c r="M16" i="8" s="1"/>
  <c r="C42" i="4"/>
  <c r="C43" i="4" s="1"/>
  <c r="H17" i="8"/>
  <c r="D4" i="3" s="1"/>
  <c r="D11" i="3" s="1"/>
  <c r="D28" i="6"/>
  <c r="C48" i="6"/>
  <c r="C49" i="6" s="1"/>
  <c r="D47" i="6" s="1"/>
  <c r="D7" i="8"/>
  <c r="H7" i="8"/>
  <c r="G7" i="8"/>
  <c r="M7" i="8" s="1"/>
  <c r="F41" i="4"/>
  <c r="F33" i="5"/>
  <c r="F94" i="4"/>
  <c r="F33" i="4" s="1"/>
  <c r="N4" i="4" s="1"/>
  <c r="D13" i="8"/>
  <c r="H13" i="8"/>
  <c r="G13" i="8"/>
  <c r="M13" i="8" s="1"/>
  <c r="G8" i="8"/>
  <c r="M8" i="8" s="1"/>
  <c r="M11" i="8"/>
  <c r="G93" i="4"/>
  <c r="G32" i="4" s="1"/>
  <c r="G89" i="4"/>
  <c r="G28" i="4" s="1"/>
  <c r="G25" i="4"/>
  <c r="D10" i="8"/>
  <c r="G10" i="8"/>
  <c r="M10" i="8" s="1"/>
  <c r="H10" i="8"/>
  <c r="L11" i="8"/>
  <c r="K11" i="8"/>
  <c r="C16" i="3" s="1"/>
  <c r="C52" i="5"/>
  <c r="D42" i="4"/>
  <c r="D43" i="4" s="1"/>
  <c r="E42" i="4"/>
  <c r="E43" i="4" s="1"/>
  <c r="D6" i="8"/>
  <c r="H6" i="8"/>
  <c r="G6" i="8"/>
  <c r="M6" i="8" s="1"/>
  <c r="D9" i="8"/>
  <c r="H9" i="8"/>
  <c r="G9" i="8"/>
  <c r="M9" i="8" s="1"/>
  <c r="G33" i="5"/>
  <c r="G94" i="4"/>
  <c r="G33" i="4" s="1"/>
  <c r="G41" i="4"/>
  <c r="G42" i="4" s="1"/>
  <c r="G43" i="4" s="1"/>
  <c r="G15" i="8"/>
  <c r="M15" i="8" s="1"/>
  <c r="D15" i="8"/>
  <c r="H15" i="8"/>
  <c r="K13" i="8"/>
  <c r="L13" i="8"/>
  <c r="K15" i="8"/>
  <c r="L15" i="8"/>
  <c r="F93" i="4"/>
  <c r="F32" i="4" s="1"/>
  <c r="F25" i="4"/>
  <c r="F89" i="4"/>
  <c r="F28" i="4" s="1"/>
  <c r="N6" i="4" s="1"/>
  <c r="D5" i="3" l="1"/>
  <c r="C5" i="3"/>
  <c r="J5" i="3"/>
  <c r="I5" i="3"/>
  <c r="H5" i="3"/>
  <c r="F5" i="3"/>
  <c r="G5" i="3"/>
  <c r="E5" i="3"/>
  <c r="F42" i="4"/>
  <c r="F43" i="4" s="1"/>
</calcChain>
</file>

<file path=xl/sharedStrings.xml><?xml version="1.0" encoding="utf-8"?>
<sst xmlns="http://schemas.openxmlformats.org/spreadsheetml/2006/main" count="1702" uniqueCount="949">
  <si>
    <t>How to use the workbook</t>
  </si>
  <si>
    <t>Start on Scenario_Comparison: choose two scenarios to compare; review the operational, capital, and student-related results.</t>
  </si>
  <si>
    <t>Test assumptions (override switch, retention r, trend flags) only if you would like to check sensitivity.</t>
  </si>
  <si>
    <t>Check capacity gates (receiving bands).</t>
  </si>
  <si>
    <t>Open Budget_Neutral_Calculator if you’re considering a non‑repurpose plan: it shows N⁰—how many students are needed to be Net ≥ 0.</t>
  </si>
  <si>
    <t>Look at Summary_Figures to scan all scenarios with the same signals.</t>
  </si>
  <si>
    <t>Use Inputs_Definitions_Sources for terms, references, and what’s still awaiting audited paste.</t>
  </si>
  <si>
    <t>Check What_Is_$900K_Savings if you are curious xxxxxx</t>
  </si>
  <si>
    <t>Scenario A 
(Repurpose Both Operationally)</t>
  </si>
  <si>
    <t>Scenario B 
(Continued Decline)</t>
  </si>
  <si>
    <t>Scenario C 
(Grow Both)</t>
  </si>
  <si>
    <t>Scenario D 
(Repurpose Echo Operationally; Grow Pima)</t>
  </si>
  <si>
    <t>Scenario E
(Repurpose Pima Operationally; Grow Echo)</t>
  </si>
  <si>
    <t>5‑yr Operating Net (no capital)</t>
  </si>
  <si>
    <t>FY26 Displaced (students)</t>
  </si>
  <si>
    <t>FY30 Served (students)</t>
  </si>
  <si>
    <t xml:space="preserve"> </t>
  </si>
  <si>
    <t>Go-forward scenario summary view*</t>
  </si>
  <si>
    <t>*SUSD-sourced data used wherever possible.  Sources and assumptions are noted in Inputs_Definitions_Sources</t>
  </si>
  <si>
    <t>Choose view &gt;&gt;</t>
  </si>
  <si>
    <t>SUMMARY (Selected View)</t>
  </si>
  <si>
    <t>INTUITION (quick read)</t>
  </si>
  <si>
    <t>A1</t>
  </si>
  <si>
    <t>B1</t>
  </si>
  <si>
    <t>C1</t>
  </si>
  <si>
    <t>D1</t>
  </si>
  <si>
    <t>E1</t>
  </si>
  <si>
    <t>Operating Net</t>
  </si>
  <si>
    <t>B2&lt;C2 in FY26: Echo r lower → fewer served; h applies.</t>
  </si>
  <si>
    <t>Scenario A (Repurpose Both Operationally)</t>
  </si>
  <si>
    <t>Scenario B (Continued Decline)</t>
  </si>
  <si>
    <t>Scenario D (Repurpose Echo Operationally; Grow Pima)</t>
  </si>
  <si>
    <t>Source / Confidence Level</t>
  </si>
  <si>
    <t>Model sensitivity</t>
  </si>
  <si>
    <t>Revenue</t>
  </si>
  <si>
    <t>Grow Both FY26 negative: Yr‑1 deficit + small overlay; improves by FY30.</t>
  </si>
  <si>
    <t>Baseline ADM Echo</t>
  </si>
  <si>
    <t>***</t>
  </si>
  <si>
    <t>Variable M&amp;O + h</t>
  </si>
  <si>
    <t>Baseline ADM Pima</t>
  </si>
  <si>
    <t>Fixed M&amp;O (net)</t>
  </si>
  <si>
    <t>ADM change FY26</t>
  </si>
  <si>
    <t>One-time Capital (FY26)</t>
  </si>
  <si>
    <t>Echo retention ratio</t>
  </si>
  <si>
    <t>*</t>
  </si>
  <si>
    <t>Pima retention ratio</t>
  </si>
  <si>
    <t>**</t>
  </si>
  <si>
    <t>Number of students transitioning</t>
  </si>
  <si>
    <t>Students served FY26</t>
  </si>
  <si>
    <t>Sensitivity (Δ Net FY2030)</t>
  </si>
  <si>
    <t>Revenue per served student ($/ADM)</t>
  </si>
  <si>
    <t>Site‑Fixed ±$100k/site</t>
  </si>
  <si>
    <t>Total 'revenue'</t>
  </si>
  <si>
    <t>f_ops / f_lease ±0.05</t>
  </si>
  <si>
    <t>Districtwide gross Maint &amp; Operations cost per non-new ADM</t>
  </si>
  <si>
    <t>Retention r ±10 pp</t>
  </si>
  <si>
    <t>Variable M&amp;O per non-new student ($/ADM)</t>
  </si>
  <si>
    <t>MFO {0.5, 0.6, 0.8}</t>
  </si>
  <si>
    <t>Non-new students</t>
  </si>
  <si>
    <t>Uplift ±10%</t>
  </si>
  <si>
    <t>Total variable gross cost of non-new students</t>
  </si>
  <si>
    <t>After discounting estimated fixed, adjusting for inflation</t>
  </si>
  <si>
    <t>New students</t>
  </si>
  <si>
    <t xml:space="preserve">Marginal variable cost to add new students </t>
  </si>
  <si>
    <t>Estimated proportion of full cost</t>
  </si>
  <si>
    <t>Variable gross M&amp;O / new student</t>
  </si>
  <si>
    <t>M&amp;O = Maintenance &amp; Operations cost</t>
  </si>
  <si>
    <t xml:space="preserve">Incremental overhead per new student </t>
  </si>
  <si>
    <t>Estimted in model as proportion of repurpose transition cost</t>
  </si>
  <si>
    <t>Per new student cost (m + routing)</t>
  </si>
  <si>
    <t>Total variable gross cost of new students</t>
  </si>
  <si>
    <t>Total variable gross M&amp;O cost</t>
  </si>
  <si>
    <t>Transition cost (routing, transportation, etc.) FY26</t>
  </si>
  <si>
    <t>Assuming adjustments in routing or other transportation investment needed for students displaced from repurpose; tapers over time</t>
  </si>
  <si>
    <t>Routing/Admin cost FYxx (h)</t>
  </si>
  <si>
    <t>Total gross M&amp;O + transition cost</t>
  </si>
  <si>
    <t>Base open site fixed total</t>
  </si>
  <si>
    <t>Estimated repurpose site fixed cost carry ratio</t>
  </si>
  <si>
    <t>Net total cost</t>
  </si>
  <si>
    <t>Net operating $ FY26</t>
  </si>
  <si>
    <t>FY26 Capital investment</t>
  </si>
  <si>
    <t>(Check-MultiYear_Proforma) Net operating $ / year</t>
  </si>
  <si>
    <t>Difference in MYP net vs. Dashboard net</t>
  </si>
  <si>
    <t>% difference in MYP net vs. Dashboard net</t>
  </si>
  <si>
    <t xml:space="preserve">FY2026 </t>
  </si>
  <si>
    <t>A2</t>
  </si>
  <si>
    <t>B2</t>
  </si>
  <si>
    <t>C2</t>
  </si>
  <si>
    <t>Scenario A (Repurpose Both Lease)</t>
  </si>
  <si>
    <t>Scenario E (Continued Decline)</t>
  </si>
  <si>
    <t>Scenario D 
(Grow Both)</t>
  </si>
  <si>
    <t>Scenario B (Repurpose Echo Lease; Grow Pima)</t>
  </si>
  <si>
    <t>Scenario C
(Repurpose Pima Lease; Grow Echo)</t>
  </si>
  <si>
    <t>Note</t>
  </si>
  <si>
    <t xml:space="preserve">Per‑served revenue ($/ADM) </t>
  </si>
  <si>
    <t>Base+override;  to be conservative, small adjustment down for new students</t>
  </si>
  <si>
    <t>Maintenance &amp; Operations referred to as "M&amp;O"</t>
  </si>
  <si>
    <t xml:space="preserve">Variable cost / non-new ADM </t>
  </si>
  <si>
    <t xml:space="preserve">Variable gross M&amp;O + growth overhead / new student </t>
  </si>
  <si>
    <t>Total transition cost FY26</t>
  </si>
  <si>
    <t>Net fixed cost total</t>
  </si>
  <si>
    <t>Capital investment $ FY26</t>
  </si>
  <si>
    <t>FY2030</t>
  </si>
  <si>
    <t>ADM change FY30</t>
  </si>
  <si>
    <t>Students served FY30</t>
  </si>
  <si>
    <t>Transition cost (routing, transportation, etc.) FY30</t>
  </si>
  <si>
    <t>Total transition cost FY30</t>
  </si>
  <si>
    <t>Net operating $ FY30</t>
  </si>
  <si>
    <t>Capital investment $ FY30</t>
  </si>
  <si>
    <t>FY26 simulated P&amp;L by scenario</t>
  </si>
  <si>
    <t>Scenario A2 (Repurpose Both Lease)</t>
  </si>
  <si>
    <t>Scenario D1 (Grow Both)</t>
  </si>
  <si>
    <t>Scenario E1 (Continued Decline)</t>
  </si>
  <si>
    <t>Scenario B2 (Repurpose Echo Lease; Grow Pima)</t>
  </si>
  <si>
    <t>Scenario C2
(Repurpose Pima Lease; Grow Echo)</t>
  </si>
  <si>
    <t>r_e (Echo retention ratio)</t>
  </si>
  <si>
    <t>r_p (Pima retention ratio)</t>
  </si>
  <si>
    <t>N/A</t>
  </si>
  <si>
    <t>Funding/student (base+override;  to be conservative, small adjustment down for new students)</t>
  </si>
  <si>
    <t>Implied total 'revenue'</t>
  </si>
  <si>
    <t>Districtwide gross Maintenance &amp; Operations cost per non-new ADM</t>
  </si>
  <si>
    <t>Variable cost / non-new ADM after discounting estimated fixed, adjusting for inflation</t>
  </si>
  <si>
    <t>Implied total variable gross cost of non-new students</t>
  </si>
  <si>
    <t>Marginal variable cost to add new students (as proportion of full cost)</t>
  </si>
  <si>
    <t>Implied variable gross M&amp;O / new student</t>
  </si>
  <si>
    <t>Implied total variable gross cost of new students</t>
  </si>
  <si>
    <t>Total variable gross M&amp;O</t>
  </si>
  <si>
    <t>h (Transition cost (routing, transportation, etc.) FY26)</t>
  </si>
  <si>
    <t>Implied total transition cost FY26</t>
  </si>
  <si>
    <t>Estimated repurpose site fixed carry ratio</t>
  </si>
  <si>
    <t>Net fixed total</t>
  </si>
  <si>
    <t>Net operating $ / year FY26</t>
  </si>
  <si>
    <t>Net cost</t>
  </si>
  <si>
    <t>Implied fixed cost savings / student</t>
  </si>
  <si>
    <t>Net cost / student</t>
  </si>
  <si>
    <t>Total net cost</t>
  </si>
  <si>
    <t>FY26 Capital Cost</t>
  </si>
  <si>
    <t>Execution Feasibility</t>
  </si>
  <si>
    <t>HIGH RISK (Logistics / Community)</t>
  </si>
  <si>
    <t>HIGH RISK (Marketing / Enrollment)</t>
  </si>
  <si>
    <t>LOW RISK (Passive)</t>
  </si>
  <si>
    <t>MEDIUM RISK</t>
  </si>
  <si>
    <t>Distinctiveness / reputation impact</t>
  </si>
  <si>
    <t>Very negative</t>
  </si>
  <si>
    <t>Very positive</t>
  </si>
  <si>
    <t>Positive</t>
  </si>
  <si>
    <t>Neutral to positive</t>
  </si>
  <si>
    <t>District financial 'health' impact</t>
  </si>
  <si>
    <t>Negative</t>
  </si>
  <si>
    <t>h (Transition cost (routing, transportation, etc.) FY30)</t>
  </si>
  <si>
    <t>Implied total transition cost FY30</t>
  </si>
  <si>
    <t>f_lease (Proportion of fixed cost carried FY30)</t>
  </si>
  <si>
    <t>Implied actual fixed cost savings FY30</t>
  </si>
  <si>
    <t>Change in ADM over 5 years</t>
  </si>
  <si>
    <t>-43 students</t>
  </si>
  <si>
    <t>Net operating $ / year FY30</t>
  </si>
  <si>
    <t>Average net operating $ / year FY26-FY30</t>
  </si>
  <si>
    <t>how solid is the repurpose savings estimate?</t>
  </si>
  <si>
    <t>Average net operating $ / year FY26-FY30 if site fixed savings are…</t>
  </si>
  <si>
    <t>10% less than assumed</t>
  </si>
  <si>
    <t>20% less than assumed</t>
  </si>
  <si>
    <t>10% more than assumed</t>
  </si>
  <si>
    <t>20% more than assumed</t>
  </si>
  <si>
    <t>Average net operating $ / year FY26-FY30 if f_lease savings glidepath is…</t>
  </si>
  <si>
    <t>slightly more conservative (xx)</t>
  </si>
  <si>
    <t>moderately more conservative (yy)</t>
  </si>
  <si>
    <t>slightly less conservative (zz)</t>
  </si>
  <si>
    <t>moderately less conservative (aa)</t>
  </si>
  <si>
    <t>retention</t>
  </si>
  <si>
    <t>what does it take to achieve budget-neutral on the keep-open scenarios?</t>
  </si>
  <si>
    <t>Scenario A2 (Repurpose Lease)</t>
  </si>
  <si>
    <t>Scenario E1 (Decline)</t>
  </si>
  <si>
    <t>Scenario E2 (Repurpose Echo lease; Grow Pima)</t>
  </si>
  <si>
    <t>Scenario D2
(Repurpose Pima; Grow Echo)</t>
  </si>
  <si>
    <t>change in number of students to yield budget-neutral</t>
  </si>
  <si>
    <t>average retention rate required to yield budget-neutral</t>
  </si>
  <si>
    <t>what if the input assumptions were adjusted as follows (CHOOSE):</t>
  </si>
  <si>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</si>
  <si>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</si>
  <si>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</si>
  <si>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</si>
  <si>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</si>
  <si>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</si>
  <si>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</si>
  <si>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</si>
  <si>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</si>
  <si>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</si>
  <si>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</si>
  <si>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</si>
  <si>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</si>
  <si>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</si>
  <si>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</si>
  <si>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</si>
  <si>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</si>
  <si>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</si>
  <si>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</si>
  <si>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</si>
  <si>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</si>
  <si>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</si>
  <si>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</si>
  <si>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</si>
  <si>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</si>
  <si>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</si>
  <si>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</si>
  <si>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</si>
  <si>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</si>
  <si>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</si>
  <si>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</si>
  <si>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</si>
  <si>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</si>
  <si>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</si>
  <si>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</si>
  <si>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</si>
  <si>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</si>
  <si>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</si>
  <si>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</si>
  <si>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</si>
  <si>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</si>
  <si>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</si>
  <si>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</si>
  <si>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</si>
  <si>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</si>
  <si>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 xml:space="preserve">Choose base scenario (for comparison):  </t>
  </si>
  <si>
    <t>Chart titles</t>
  </si>
  <si>
    <t>Net = (M&amp;O operating) − (Aid + Override + Uplift). Capital is excluded. Uplift is indexed to Aid growth.</t>
  </si>
  <si>
    <t>Students: Displaced = FY2026; Served = FY2030 (open + retained).</t>
  </si>
  <si>
    <t>Scenario key</t>
  </si>
  <si>
    <t>Scenario</t>
  </si>
  <si>
    <t>Net FY26 Operational $</t>
  </si>
  <si>
    <t>Net FY28 Operational $</t>
  </si>
  <si>
    <t>Net FY30 Operational $</t>
  </si>
  <si>
    <t>AVG 5-yr net operational $</t>
  </si>
  <si>
    <t>5-yr Operating Net $ (sum FY26-30)</t>
  </si>
  <si>
    <t>Displaced students</t>
  </si>
  <si>
    <t>Served students FY30</t>
  </si>
  <si>
    <t>Net Op $ / Served (FY2030)</t>
  </si>
  <si>
    <t>Δ vs Base (FY2030 Net)</t>
  </si>
  <si>
    <t>Δ vs Base (5-yr Avg Net)</t>
  </si>
  <si>
    <t>Note:  Displaced = FY26; Served = FY30. Net = M&amp;O − (Aid + Override + Uplift); showing one-time capital (fy26) as negative number for visualization purposes</t>
  </si>
  <si>
    <t>Public Inputs — Audited Baselines and Overrides (Phase A)</t>
  </si>
  <si>
    <t>Yellow fields are editable</t>
  </si>
  <si>
    <t>ADM (official)</t>
  </si>
  <si>
    <t>Values</t>
  </si>
  <si>
    <t>Notes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</si>
  <si>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</si>
  <si>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</si>
  <si>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</si>
  <si>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</si>
  <si>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</si>
  <si>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</si>
  <si>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</si>
  <si>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</si>
  <si>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</si>
  <si>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</si>
  <si>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</si>
  <si>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</si>
  <si>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</si>
  <si>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</si>
  <si>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</si>
  <si>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</si>
  <si>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</si>
  <si>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</si>
  <si>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</si>
  <si>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</si>
  <si>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</si>
  <si>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</si>
  <si>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</si>
  <si>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</si>
  <si>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</si>
  <si>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</si>
  <si>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</si>
  <si>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</si>
  <si>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</si>
  <si>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</si>
  <si>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</si>
  <si>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</si>
  <si>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</si>
  <si>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</si>
  <si>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</si>
  <si>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</si>
  <si>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</si>
  <si>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</si>
  <si>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</si>
  <si>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</si>
  <si>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</si>
  <si>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</si>
  <si>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</si>
  <si>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</si>
  <si>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</si>
  <si>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</si>
  <si>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</si>
  <si>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</si>
  <si>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</si>
  <si>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</si>
  <si>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</si>
  <si>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</si>
  <si>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</si>
  <si>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</si>
  <si>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</si>
  <si>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</si>
  <si>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</si>
  <si>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</si>
  <si>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</si>
  <si>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</si>
  <si>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</si>
  <si>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(as a function of standard variable cost per student)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</si>
  <si>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</si>
  <si>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</si>
  <si>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</si>
  <si>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</si>
  <si>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</si>
  <si>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</si>
  <si>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</si>
  <si>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LEASE AVOIDANCE (district; memo) — parameters</t>
  </si>
  <si>
    <t>Leased_SF_Admin (ft^2)</t>
  </si>
  <si>
    <t>Rent_per_ft2_per_year ($/ft^2/yr)</t>
  </si>
  <si>
    <t>Admin_O&amp;M_per_ft2_per_year ($/ft^2/yr)</t>
  </si>
  <si>
    <t>Start_Year</t>
  </si>
  <si>
    <t>Pct_Vacated_FY2026 (0–1)</t>
  </si>
  <si>
    <t>Pct_Vacated_FY2027 (0–1)</t>
  </si>
  <si>
    <t>Pct_Vacated_FY2028 (0–1)</t>
  </si>
  <si>
    <t>Pct_Vacated_FY2029 (0–1)</t>
  </si>
  <si>
    <t>Pct_Vacated_FY2030 (0–1)</t>
  </si>
  <si>
    <t>Overlap_Months (0–12)</t>
  </si>
  <si>
    <t>Buyout_$ (applied in FY2026 only)</t>
  </si>
  <si>
    <t>Include_in_OperNet_Toggle (0 memo / 1 include)</t>
  </si>
  <si>
    <t>PRE-K &amp; SHARED-USE (memo) — parameters</t>
  </si>
  <si>
    <t>PK_Classrooms</t>
  </si>
  <si>
    <t>PK_Seats_Per_Class</t>
  </si>
  <si>
    <t>PK_Occupancy_%</t>
  </si>
  <si>
    <t>PK_Tuition_per_Month_$</t>
  </si>
  <si>
    <t>PK_Months_per_Year</t>
  </si>
  <si>
    <t>PK_Staff_Cost_per_Class_$ (annual)</t>
  </si>
  <si>
    <t>SharedUse_Classroom_HrsPerWeek</t>
  </si>
  <si>
    <t>SharedUse_Weeks</t>
  </si>
  <si>
    <t>SharedUse_Rate_per_Hour_$</t>
  </si>
  <si>
    <t>SharedUse_Staff_Utility_per_Year_$</t>
  </si>
  <si>
    <t>Audited &amp; Policy Anchors (paste into Parameters when available)</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</si>
  <si>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</si>
  <si>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</si>
  <si>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</si>
  <si>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</si>
  <si>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</si>
  <si>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</si>
  <si>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</si>
  <si>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</si>
  <si>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</si>
  <si>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</si>
  <si>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</si>
  <si>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</si>
  <si>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</si>
  <si>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</si>
  <si>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</si>
  <si>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</si>
  <si>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</si>
  <si>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</si>
  <si>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</si>
  <si>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</si>
  <si>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</si>
  <si>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</si>
  <si>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</si>
  <si>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</si>
  <si>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</si>
  <si>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</si>
  <si>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</si>
  <si>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</si>
  <si>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</si>
  <si>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</si>
  <si>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</si>
  <si>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</si>
  <si>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</si>
  <si>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</si>
  <si>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</si>
  <si>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</si>
  <si>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</si>
  <si>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</si>
  <si>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</si>
  <si>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</si>
  <si>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</si>
  <si>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</si>
  <si>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</si>
  <si>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</si>
  <si>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</si>
  <si>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</si>
  <si>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</si>
  <si>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</si>
  <si>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</si>
  <si>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</si>
  <si>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</si>
  <si>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</si>
  <si>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</si>
  <si>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</si>
  <si>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</si>
  <si>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</si>
  <si>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</si>
  <si>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</si>
  <si>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</si>
  <si>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</si>
  <si>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</si>
  <si>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</si>
  <si>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</si>
  <si>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</si>
  <si>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</si>
  <si>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</si>
  <si>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</si>
  <si>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</si>
  <si>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</si>
  <si>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</si>
  <si>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</si>
  <si>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</si>
  <si>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</si>
  <si>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</si>
  <si>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</si>
  <si>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</si>
  <si>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</si>
  <si>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</si>
  <si>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</si>
  <si>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</si>
  <si>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</si>
  <si>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</si>
  <si>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</si>
  <si>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</si>
  <si>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</si>
  <si>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</si>
  <si>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</si>
  <si>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</si>
  <si>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</si>
  <si>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</si>
  <si>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</si>
  <si>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</si>
  <si>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</si>
  <si>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</si>
  <si>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</si>
  <si>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</si>
  <si>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</si>
  <si>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</si>
  <si>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</si>
  <si>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</si>
  <si>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</si>
  <si>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</si>
  <si>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</si>
  <si>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</si>
  <si>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</si>
  <si>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</si>
  <si>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</si>
  <si>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</si>
  <si>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</si>
  <si>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</si>
  <si>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</si>
  <si>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</si>
  <si>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</si>
  <si>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</si>
  <si>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</si>
  <si>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</si>
  <si>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</si>
  <si>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</si>
  <si>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</si>
  <si>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</si>
  <si>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</si>
  <si>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</si>
  <si>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</si>
  <si>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</si>
  <si>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</si>
  <si>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</si>
  <si>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</si>
  <si>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</si>
  <si>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</si>
  <si>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</si>
  <si>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</si>
  <si>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</si>
  <si>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</si>
  <si>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</si>
  <si>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</si>
  <si>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</si>
  <si>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</si>
  <si>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</si>
  <si>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</si>
  <si>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</si>
  <si>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</si>
  <si>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</si>
  <si>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</si>
  <si>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</si>
  <si>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</si>
  <si>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</si>
  <si>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</si>
  <si>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</si>
  <si>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</si>
  <si>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</si>
  <si>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</si>
  <si>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Repurpose-related pathway parameters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</si>
  <si>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</si>
  <si>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</si>
  <si>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</si>
  <si>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</si>
  <si>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</si>
  <si>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</si>
  <si>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</si>
  <si>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</si>
  <si>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</si>
  <si>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</si>
  <si>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</si>
  <si>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</si>
  <si>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</si>
  <si>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</si>
  <si>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</si>
  <si>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</si>
  <si>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</si>
  <si>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</si>
  <si>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</si>
  <si>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</si>
  <si>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</si>
  <si>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</si>
  <si>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</si>
  <si>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</si>
  <si>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</si>
  <si>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</si>
  <si>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</si>
  <si>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</si>
  <si>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Echo—site‑fixed (Fund 001 by function)</t>
  </si>
  <si>
    <t>Pending</t>
  </si>
  <si>
    <t>SUSD Finance site ledger</t>
  </si>
  <si>
    <t>Using estimated figures in site_fixed tab for now</t>
  </si>
  <si>
    <t>Pima—site‑fixed (Fund 001 by function)</t>
  </si>
  <si>
    <t>Echo/Pima 40th/100th (FY2025)</t>
  </si>
  <si>
    <t>AzEDS SDADMS72/75 export</t>
  </si>
  <si>
    <t>Transport cost unit anchors</t>
  </si>
  <si>
    <t>Drafted</t>
  </si>
  <si>
    <t>City of Scottsdale audit</t>
  </si>
  <si>
    <t>Control_Center (h₀; α)</t>
  </si>
  <si>
    <t>Other items / additional descriptions</t>
  </si>
  <si>
    <t>Item</t>
  </si>
  <si>
    <t>What</t>
  </si>
  <si>
    <t>Detail</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</si>
  <si>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</si>
  <si>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</si>
  <si>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</si>
  <si>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</si>
  <si>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</si>
  <si>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</si>
  <si>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</si>
  <si>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</si>
  <si>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ADE School Finance memo for FY2025 base level (final), plus any FY2026 update; SUSD’s per‑pupil revenue schedule (by weight) if would like to add K‑8 weights locally.
Arizona Senate Issue Brief – K‑12 School Finance (official, widely used reference). Shows the Base Level Amount (FY 2024‑25 = $5,013.33), the factor that (with district weights) drives state aid. ADE lists the same figure in its finance materials.</t>
  </si>
  <si>
    <t>Echo Canyon base ADM (≈257)</t>
  </si>
  <si>
    <t>Baseline students “served” in keep‑open scenarios</t>
  </si>
  <si>
    <t>ADE School Report Cards / Arizona Education Profiles (school pages) + SUSD 40th‑day board reports for Echo Canyon’s latest K‑8 enrollment ADE school page data used.
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</si>
  <si>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</si>
  <si>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</si>
  <si>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District M&amp;O (Fund 001) context</t>
  </si>
  <si>
    <t>Grounds the “M&amp;O per ADM” baseline used in comparable $/student</t>
  </si>
  <si>
    <t>From ACFR or adopted budget: Fund 001 totals and function detail by object/function; district ADM used in budget; site‑level M&amp;O if available.</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</si>
  <si>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</si>
  <si>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“Fixed‑like” share of M&amp;O (used conservative placeholder)</t>
  </si>
  <si>
    <t>Splits total M&amp;O into “semi‑fixed” (plant ops, insurance, admin, central) vs “variable” (classroom sections, supplies, a slice of transport) to compute EchoFixed$ and PimaFixed$</t>
  </si>
  <si>
    <t>SUSD site‑level: plant ops/maintenance, insurance, utilities, admin FTE &amp; benefits at Echo/Pima. Can use that to replace the proxy with real fixed amounts.  
The file allocates the fixed share across the two schools pro‑rata (by base ADM) as a temporary step. Can replace with the actual plant ops/insurance/utilities/admin for each site from Fund 001 to remove that simplification.</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</si>
  <si>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</si>
  <si>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Overlay</t>
  </si>
  <si>
    <t>Using this term in the spreadsheet to mean addition of new students (growth)</t>
  </si>
  <si>
    <t>Not an official district term; just using in this spreadsheet</t>
  </si>
  <si>
    <t>$ per student applied to “served ADM,” plus marginal‑cost factor on overlay seats</t>
  </si>
  <si>
    <t>Assumption derived from Fund 001 minus fixed share, divided by total ADM; then Marginal factor (see below) reduces cost for overlay seats.
Can tighten with SUSD staffing ratios &amp; actual sectioning at K–8; confirm what portion of M&amp;O truly scales with added sections (teachers, aides, supplies, a slice of transport).</t>
  </si>
  <si>
    <t>Marginal‑cost factor for overlay seats</t>
  </si>
  <si>
    <t>Applies only to overlay growth students in keep‑open scenarios; models that not every dollar is average cost</t>
  </si>
  <si>
    <t>Can tighten with SUSD’s teacher‑section &amp; aide staffing rules, average class sizes, and any marginal staffing adders at K–8 (arts, specialists).</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</si>
  <si>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</si>
  <si>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</si>
  <si>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</si>
  <si>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
Can tighten with SUSD transportation cost per route-hour, average riders per route, and the specific route changes proposed in the repurpose option.</t>
  </si>
  <si>
    <t>Retention rate “r” (central 0.75; sensitivities 0.65–0.85)</t>
  </si>
  <si>
    <t>Share of displaced Echo+Pima students who remain in SUSD (the rest leave choose other options)</t>
  </si>
  <si>
    <t>SUSD post‑closure enrollment tracking (where displaced students re‑enroll), by receiving school; use that to set “r” from observed data.</t>
  </si>
  <si>
    <t xml:space="preserve">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we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</si>
  <si>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</si>
  <si>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</si>
  <si>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</si>
  <si>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</si>
  <si>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huge remodel). Can replace this with SUSD’s scope/estimate if they have one. </t>
  </si>
  <si>
    <t>Tighten with 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</si>
  <si>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</si>
  <si>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can use real custodial (sq‑ft), grounds and route deltas if available. </t>
  </si>
  <si>
    <t>https://legiscan.com/AZ/text/HB2969/2025?utm_source=chatgpt.com</t>
  </si>
  <si>
    <t>Ops savings (for keep-open scenarios)</t>
  </si>
  <si>
    <t xml:space="preserve">Ops savings (keep‑open) = 0.007 (0.7%)”? This represents “light discipline” (utilities/purchasing tweaks, route smoothing) that does not depend on closing a site. Set low on purpose so it doesn’t drive results. Can calibrate with SUSD data (e.g., last year’s utility audits) if provided. </t>
  </si>
  <si>
    <t>K–8 capacity / square footage</t>
  </si>
  <si>
    <t>Context for “utilization” and whether overlay targets are feasible</t>
  </si>
  <si>
    <t>To be anchored to SFB (AZ School Facilities Board) capacity files and SUSD construction docs.  SUSD/SFB: design capacity and current utilization for Echo &amp; Pima (post‑rebuild specs for Pima).</t>
  </si>
  <si>
    <t>Pre‑K contribution</t>
  </si>
  <si>
    <t>Excluded from ADM and revenue in the model (unless tuition/lease modeled)</t>
  </si>
  <si>
    <t>If SUSD intends district‑operated tuition Pre‑K on site, can request pro forma for net contribution (tuition – staffing – TI).</t>
  </si>
  <si>
    <t>Supported by statute &amp; ADE finance practice—general Pre‑K does not generate state ADM (exception: SPED preschool). (Arizona Department of Education)</t>
  </si>
  <si>
    <t>ADM definition (what “counts”)</t>
  </si>
  <si>
    <t>Explains why Pre‑K is excluded and why K can count at 0.5; supports “served” math</t>
  </si>
  <si>
    <t>SUSD’s 40th‑day and 100th‑day ADM certification for Echo and Pima (K–8 breakouts).</t>
  </si>
  <si>
    <t>A.R.S. §15‑901 and legislative fact sheet: Kindergarten generates 0.5 ADM unless full‑time; ADM is a statutory count, and preschool is generally not included in ADM (except some SPED programs). (LegiScan)</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</si>
  <si>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</si>
  <si>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</si>
  <si>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</si>
  <si>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we get class‑size/FTE trigger rules, we can upgrade this to step‑functions (sections) by grade.</t>
  </si>
  <si>
    <t>Site_fixed tab</t>
  </si>
  <si>
    <t>Utilities are included in plant ops sub-cateogry for now, as an educated estimate was made from district budget information that does not de-couple utilities from plant ops.</t>
  </si>
  <si>
    <t>To be replaced with audited data when available.</t>
  </si>
  <si>
    <t>ScenarioKey</t>
  </si>
  <si>
    <t>Label</t>
  </si>
  <si>
    <t>Enrollment add over 3 years</t>
  </si>
  <si>
    <t>CloseEcho (0 = no; 1 = yes)</t>
  </si>
  <si>
    <t>ClosePima (0 = no; 1 = yes)</t>
  </si>
  <si>
    <t>EchoShareDist (share of enrollment adds)</t>
  </si>
  <si>
    <t>ExtraSave (cost efficiency assumption)</t>
  </si>
  <si>
    <t>Overlay_FY26</t>
  </si>
  <si>
    <t>Overlay_FY27</t>
  </si>
  <si>
    <t>Overlay_FY28</t>
  </si>
  <si>
    <t>Overlay_FY29</t>
  </si>
  <si>
    <t>Overlay_FY30</t>
  </si>
  <si>
    <t>Carry</t>
  </si>
  <si>
    <t>Growth_Echo</t>
  </si>
  <si>
    <t>Growth_Pima</t>
  </si>
  <si>
    <t>Apply_Echo_Trend</t>
  </si>
  <si>
    <t>Apply_Pima_Trend</t>
  </si>
  <si>
    <t>F1_CUSTOM1</t>
  </si>
  <si>
    <t>CUSTOM_KeepOpen_v1</t>
  </si>
  <si>
    <t>Baseline + outreach; no closures</t>
  </si>
  <si>
    <t>None</t>
  </si>
  <si>
    <t>B3_StatusQuo_Targets</t>
  </si>
  <si>
    <t>Echo &amp; Pima open; uplift warm handoff effort (intra-SUSD); initiate cross-district marketing</t>
  </si>
  <si>
    <t>Baseline + targets; no closures</t>
  </si>
  <si>
    <t>C2_CoLocation_Echo_Targets</t>
  </si>
  <si>
    <t>Echo &amp; Pima open; co-locate e.g. district teacher learning center at Echo; uplift warm handoff effort (intra-SUSD); initiate cross-district marketing</t>
  </si>
  <si>
    <t>Shared‑use efficiencies (no closure)</t>
  </si>
  <si>
    <t>C1_Grow_Both_Targets</t>
  </si>
  <si>
    <t>Echo &amp; Pima open; growth initiatives Echo (e.g. innovation) &amp; Pima (e.g. arts); uplift warm handoff effort (intra-SUSD); initiate cross-district marketing</t>
  </si>
  <si>
    <t>Baseline + growth initiatives</t>
  </si>
  <si>
    <t>Innov</t>
  </si>
  <si>
    <t>Arts</t>
  </si>
  <si>
    <t>B2_StatusQuo_Steady</t>
  </si>
  <si>
    <t>Echo &amp; Pima open; no operational or strategic growth actions; no change in enrollment</t>
  </si>
  <si>
    <t>Baseline steady enrollment</t>
  </si>
  <si>
    <t>D2_EchoGHubRamp_PimaTargets</t>
  </si>
  <si>
    <t>Echo &amp; Pima open; growth initiative Echo (e.g. arts); no growth initiative Pima; uplift warm handoff effort (intra-SUSD); initiate cross-district marketing</t>
  </si>
  <si>
    <t>Time‑phased ramp over years 1-3</t>
  </si>
  <si>
    <t>A1_Repurpose_Both_ops</t>
  </si>
  <si>
    <t>Repurpose both Echo &amp; Pima; operationally convert both properties (e.g. early learning center); fixed cost reduction rate, retention %, and transition cost assumptions are key drivers</t>
  </si>
  <si>
    <t>Repurpose both; operations carry</t>
  </si>
  <si>
    <t>ops</t>
  </si>
  <si>
    <t>Repurpose both Echo &amp; Pima; lease both properties; fixed cost reduction rate, retention %, and transition cost assumptions are key drivers</t>
  </si>
  <si>
    <t>Repurpose both; lease/sale glide</t>
  </si>
  <si>
    <t>lease</t>
  </si>
  <si>
    <t>D2_Repurpose_Echo_lease_PimaTargets</t>
  </si>
  <si>
    <t>Repurpose ECHO (lease) + Growth Hub @ Pima + Pima Op Growth Targets</t>
  </si>
  <si>
    <t>Repurpose Echo only; lease glide</t>
  </si>
  <si>
    <t>D1_Repurpose_Echo_ops_PimaTargets</t>
  </si>
  <si>
    <t>Repurpose ECHO (ops) + Growth Hub @ Pima + Pima Op Growth Targets</t>
  </si>
  <si>
    <t>Repurpose Echo only; ops carry</t>
  </si>
  <si>
    <t>D2_Repurpose_Pima_lease_EchoGHub_EchoTargets</t>
  </si>
  <si>
    <t>Repurpose PIMA (lease) + Growth Hub @ Echo + Echo Op Growth Targets</t>
  </si>
  <si>
    <t>Repurpose Pima only; lease glide</t>
  </si>
  <si>
    <t>D1_Repurpose_Pima_ops_EchoGHub_EchoTargets</t>
  </si>
  <si>
    <t>Repurpose PIMA (ops) + Growth Hub @ Echo + Echo Op Growth Targets</t>
  </si>
  <si>
    <t>Repurpose Pima only; ops carry</t>
  </si>
  <si>
    <t>B1_StatusQuo_Decline</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</si>
  <si>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</si>
  <si>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</si>
  <si>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</si>
  <si>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</si>
  <si>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</si>
  <si>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</si>
  <si>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</si>
  <si>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</si>
  <si>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</si>
  <si>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</si>
  <si>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ExtraSave</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</si>
  <si>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</si>
  <si>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</si>
  <si>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</si>
  <si>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</si>
  <si>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</si>
  <si>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</si>
  <si>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</si>
  <si>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</si>
  <si>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</si>
  <si>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</si>
  <si>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</si>
  <si>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</si>
  <si>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</si>
  <si>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</si>
  <si>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</si>
  <si>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</si>
  <si>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</si>
  <si>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</si>
  <si>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</si>
  <si>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</si>
  <si>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</si>
  <si>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</si>
  <si>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</si>
  <si>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</si>
  <si>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</si>
  <si>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</si>
  <si>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</si>
  <si>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</si>
  <si>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</si>
  <si>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CloseEcho</t>
  </si>
  <si>
    <t>ClosePima</t>
  </si>
  <si>
    <t>Req_K5</t>
  </si>
  <si>
    <t>Req_6_8</t>
  </si>
  <si>
    <t>Spare_K5</t>
  </si>
  <si>
    <t>Spare_6_8</t>
  </si>
  <si>
    <t>Short_K5</t>
  </si>
  <si>
    <t>Short_6_8</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</si>
  <si>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</si>
  <si>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</si>
  <si>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</si>
  <si>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</si>
  <si>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</si>
  <si>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</si>
  <si>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</si>
  <si>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</si>
  <si>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</si>
  <si>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</si>
  <si>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</si>
  <si>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</si>
  <si>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</si>
  <si>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</si>
  <si>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</si>
  <si>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</si>
  <si>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</si>
  <si>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</si>
  <si>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</si>
  <si>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</si>
  <si>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</si>
  <si>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</si>
  <si>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</si>
  <si>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</si>
  <si>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</si>
  <si>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</si>
  <si>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</si>
  <si>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</si>
  <si>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</si>
  <si>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</si>
  <si>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</si>
  <si>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</si>
  <si>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</si>
  <si>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</si>
  <si>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</si>
  <si>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</si>
  <si>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</si>
  <si>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</si>
  <si>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</si>
  <si>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</si>
  <si>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</si>
  <si>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</si>
  <si>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E. Status‑Quo + Targets (0)</t>
  </si>
  <si>
    <t>Status‑Quo + Op Growth Targets</t>
  </si>
  <si>
    <t>F. Co‑Location @ Echo (0)</t>
  </si>
  <si>
    <t>Co‑Location @ Echo + Op Growth Targets</t>
  </si>
  <si>
    <t>D. Grow Both (Overlay 100)</t>
  </si>
  <si>
    <t>Grow Both + Op Growth Targets</t>
  </si>
  <si>
    <t>D. Grow Both (Overlay 150)</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</si>
  <si>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</si>
  <si>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</si>
  <si>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</si>
  <si>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</si>
  <si>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</si>
  <si>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</si>
  <si>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</si>
  <si>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</si>
  <si>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</si>
  <si>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</si>
  <si>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</si>
  <si>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</si>
  <si>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</si>
  <si>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C. Repurpose PIMA (ops)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</si>
  <si>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</si>
  <si>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</si>
  <si>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</si>
  <si>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</si>
  <si>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</si>
  <si>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</si>
  <si>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</si>
  <si>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</si>
  <si>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</si>
  <si>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</si>
  <si>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</si>
  <si>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</si>
  <si>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</si>
  <si>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</si>
  <si>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</si>
  <si>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</si>
  <si>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  Used only if site_fixed figures and not populated in site_fixed tab</t>
  </si>
  <si>
    <t>Light discipline if sites remain open.</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</si>
  <si>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</si>
  <si>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</si>
  <si>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</si>
  <si>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</si>
  <si>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</si>
  <si>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</si>
  <si>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</si>
  <si>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</si>
  <si>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</si>
  <si>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</si>
  <si>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</si>
  <si>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</si>
  <si>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</si>
  <si>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</si>
  <si>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</si>
  <si>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</si>
  <si>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</si>
  <si>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</si>
  <si>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</si>
  <si>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</si>
  <si>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</si>
  <si>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</si>
  <si>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</si>
  <si>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</si>
  <si>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</si>
  <si>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</si>
  <si>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</si>
  <si>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</si>
  <si>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</si>
  <si>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GeneralFund_uplift_per_ADM</t>
  </si>
  <si>
    <t>Growth_overhead_per_ADM</t>
  </si>
  <si>
    <t>Uplift_incr_per_ADM</t>
  </si>
  <si>
    <t>Site-level Fixed M&amp;O (FY25 baseline amounts) — Fund 001 categories</t>
  </si>
  <si>
    <t>Figures below are not from audited district sources (unable to find); They are estimated* based on SUSD’s FY26 budget function totals and campus square footage, and they are similar to the board‑discussed savings band (~$1.0M/site).</t>
  </si>
  <si>
    <t>Echo — Plant Ops/Maintenance</t>
  </si>
  <si>
    <t>Echo — Utilities</t>
  </si>
  <si>
    <t>Echo — Insurance</t>
  </si>
  <si>
    <t>Echo — Site Admin (FTE+benefits)</t>
  </si>
  <si>
    <t>Echo — Other Fixed</t>
  </si>
  <si>
    <t>Echo Fixed Total (FY25)</t>
  </si>
  <si>
    <t>SUM(C5:C9)</t>
  </si>
  <si>
    <t>Pima — Plant Ops/Maintenance</t>
  </si>
  <si>
    <t>Pima — Utilities</t>
  </si>
  <si>
    <t>Pima — Insurance</t>
  </si>
  <si>
    <t>Pima — Site Admin (FTE+benefits)</t>
  </si>
  <si>
    <t>Pima — Other Fixed</t>
  </si>
  <si>
    <t>Pima Fixed Total (FY25)</t>
  </si>
  <si>
    <t>SUM(C12:C16)</t>
  </si>
  <si>
    <t>Our understanding is that the following district-audited data would support the above fields:
FY2025, Fund 001, filtered to these USFR function buckets--
--&gt;2600 – Operation &amp; Maintenance of Plant (split if possible into: 621/622 utilities, 661/662 supplies, 641 repairs)
--&gt;2400 – School Administration (principal and school admin support; object 6100/6200)
--&gt;Insurance – if coded centrally, site‑allocated portion would be useful (if central, we could allocate to “other fixed” or prorate by square foot)
--&gt;(Optional) 2300 – General Administration if any campus‑coded records exist; usually district‑wide, so we’ll exclude unless they truly sit at the site.</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</si>
  <si>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</si>
  <si>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</si>
  <si>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</si>
  <si>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</si>
  <si>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</si>
  <si>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</si>
  <si>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</si>
  <si>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</si>
  <si>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</si>
  <si>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</si>
  <si>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</si>
  <si>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</si>
  <si>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</si>
  <si>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</si>
  <si>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</si>
  <si>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</si>
  <si>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</si>
  <si>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BaselineCalc</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</si>
  <si>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</si>
  <si>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</si>
  <si>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</si>
  <si>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</si>
  <si>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</si>
  <si>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</si>
  <si>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</si>
  <si>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</si>
  <si>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</si>
  <si>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</si>
  <si>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</si>
  <si>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</si>
  <si>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</si>
  <si>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</si>
  <si>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</si>
  <si>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</si>
  <si>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</si>
  <si>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</si>
  <si>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</si>
  <si>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</si>
  <si>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</si>
  <si>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</si>
  <si>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</si>
  <si>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</si>
  <si>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</si>
  <si>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</si>
  <si>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</si>
  <si>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</si>
  <si>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</si>
  <si>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</si>
  <si>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</si>
  <si>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</si>
  <si>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</si>
  <si>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</si>
  <si>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</si>
  <si>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</si>
  <si>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</si>
  <si>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</si>
  <si>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</si>
  <si>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</si>
  <si>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</si>
  <si>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</si>
  <si>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</si>
  <si>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</si>
  <si>
    <t>Lease Avoidance (district; memo)</t>
  </si>
  <si>
    <t>Leased_SF_Admin</t>
  </si>
  <si>
    <t>Rent_per_ft2_per_year</t>
  </si>
  <si>
    <t>Admin_O&amp;M_per_ft2_per_year</t>
  </si>
  <si>
    <t>Pct_Vacated</t>
  </si>
  <si>
    <t>Gross_Avoided$</t>
  </si>
  <si>
    <t>Overlap_Cost$</t>
  </si>
  <si>
    <t>Buyout_Alloc$</t>
  </si>
  <si>
    <t>Lease_Avoid_Net$</t>
  </si>
  <si>
    <t>Pre-K &amp; Shared-Use (memo)</t>
  </si>
  <si>
    <t>PK_Staff_Cost_per_Class_$</t>
  </si>
  <si>
    <t>SharedUse_Staff_Utility_$</t>
  </si>
  <si>
    <t>PK_Gross$</t>
  </si>
  <si>
    <t>PK_Cost$</t>
  </si>
  <si>
    <t>PK_Net$</t>
  </si>
  <si>
    <t>SharedUse_Gross$</t>
  </si>
  <si>
    <t>SharedUse_Net$</t>
  </si>
  <si>
    <t>Community_Programs_Memo_Total$</t>
  </si>
  <si>
    <t>Scenario D2 
(Repurpose Echo as Lease or Sale; Grow Pima)</t>
  </si>
  <si>
    <t>Scenario E2
(Repurpose Pima as Lease or Sale; Grow Echo)</t>
  </si>
  <si>
    <t>Scenario A2 
(Repurpose Both as Lease or Sale**)</t>
  </si>
  <si>
    <t>**Ideally would de-couple lease &amp; sale, but combined for model simplifcation; can imagine that sale is cleaner from a balance sheet perspective and can reduce overall admin burden over time if can execute sale quickly, but sale is likely more difficult to get approved; conversely, lease would be less clean but might be easier to get approved.  Both have similar negative reputation impact, presumably.</t>
  </si>
  <si>
    <t>Medium</t>
  </si>
  <si>
    <t>Δ 5-yr Op Net vs Scenario A</t>
  </si>
  <si>
    <t>Operating performance (Fund 001)</t>
  </si>
  <si>
    <t>Reference (outside 001 unless confirmed otherwise)</t>
  </si>
  <si>
    <t>People</t>
  </si>
  <si>
    <t>Capital</t>
  </si>
  <si>
    <t>Risk &amp; Strategy</t>
  </si>
  <si>
    <t>Implementation complexity &amp; delivery risk</t>
  </si>
  <si>
    <t>Community impact &amp; reputational risk</t>
  </si>
  <si>
    <t>Strategic value &amp; district resilience</t>
  </si>
  <si>
    <t>🟥 = adverse, 🟨 = mixed, 🟩 = favorable (vs. base)</t>
  </si>
  <si>
    <t>“Operating Net = Fund 001 only; Lease‑avoidance and Pre‑K/community are displayed as memo items.”</t>
  </si>
  <si>
    <t>“All figures tie to MultiYear_Pro_Forma / Summary_Figures; FY‑specific checks appear below the fold.”</t>
  </si>
  <si>
    <t>Fixed‑cost savings only if site is dark/leased; result depends on retention; includes temporary routing/admin.</t>
  </si>
  <si>
    <t>No transition overhead; starts negative if base deficit &gt; year‑1 contribution; improves as cohorts accumulate.</t>
  </si>
  <si>
    <t>Fixed savings on one campus + positive contribution from added students at the other.</t>
  </si>
  <si>
    <r>
      <t>What it means:</t>
    </r>
    <r>
      <rPr>
        <sz val="11"/>
        <color theme="1"/>
        <rFont val="Calibri"/>
        <family val="2"/>
        <scheme val="minor"/>
      </rPr>
      <t xml:space="preserve"> number/size of moving parts—closures, conversions, lease/sale actions, routing changes, and program build.</t>
    </r>
  </si>
  <si>
    <r>
      <t>What it means:</t>
    </r>
    <r>
      <rPr>
        <sz val="11"/>
        <color theme="1"/>
        <rFont val="Calibri"/>
        <family val="2"/>
        <scheme val="minor"/>
      </rPr>
      <t xml:space="preserve"> visible disruption (displaced students), likelihood of controversy, and communications load.</t>
    </r>
  </si>
  <si>
    <r>
      <t>What it means:</t>
    </r>
    <r>
      <rPr>
        <sz val="11"/>
        <color theme="1"/>
        <rFont val="Calibri"/>
        <family val="2"/>
        <scheme val="minor"/>
      </rPr>
      <t xml:space="preserve"> ability to attract/retain families, strengthen SUSD’s brand/program mix, and reduce long‑run fragility.</t>
    </r>
  </si>
  <si>
    <t>Medium-High</t>
  </si>
  <si>
    <t>Low-Medium</t>
  </si>
  <si>
    <t>FY26 Capital Investment (One-time)</t>
  </si>
  <si>
    <t>Memo-5-yr Lease Avoidance (District Admin)*</t>
  </si>
  <si>
    <t>Memo-5-yr Pre-K / Community Programs Net*</t>
  </si>
  <si>
    <t xml:space="preserve">Net per served (FY30)*** </t>
  </si>
  <si>
    <t>***Operating Net ÷ FY30 served (Fund 001)</t>
  </si>
  <si>
    <t>Community (negative) impact &amp; reputational risk</t>
  </si>
  <si>
    <t>*Showing as separate from operating net as may be accounted for outside 001; suggestion was that Echo would have district offices, pre-K focus, and some 'shared use' rent of space</t>
  </si>
  <si>
    <t>Memo-5-yr Operating Net + (Lease Avoidance + Pre-K / Community Programs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</si>
</sst>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5" formatCode="&quot;$&quot;#,##0_);\(&quot;$&quot;#,##0\)"/>
    <numFmt numFmtId="7" formatCode="&quot;$&quot;#,##0.00_);\(&quot;$&quot;#,##0.00\)"/>
    <numFmt numFmtId="44" formatCode="_(&quot;$&quot;* #,##0.00_);_(&quot;$&quot;* \(#,##0.00\);_(&quot;$&quot;* &quot;-&quot;??_);_(@_)"/>
    <numFmt numFmtId="43" formatCode="_(* #,##0.00_);_(* \(#,##0.00\);_(* &quot;-&quot;??_);_(@_)"/>
    <numFmt numFmtId="164" formatCode="\$#,##0"/>
    <numFmt numFmtId="165" formatCode="_(&quot;$&quot;* #,##0_);_(&quot;$&quot;* \(#,##0\);_(&quot;$&quot;* &quot;-&quot;??_);_(@_)"/>
    <numFmt numFmtId="166" formatCode="_-\$* #,##0_-;\-\$* #,##0_-;_-* &quot;-&quot;??_-;_-@_-"/>
    <numFmt numFmtId="167" formatCode="_(\$* #,##0_);_(\$* \(#,##0\);_(\$* &quot;-&quot;??_);_(@_)"/>
  </numFmts>
  <fonts count="39"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u/>
      <sz val="11"/>
      <color theme="10"/>
      <name val="Calibri"/>
      <family val="2"/>
      <scheme val="minor"/>
    </font>
    <font>
      <u/>
      <sz val="10"/>
      <color theme="10"/>
      <name val="Calibri"/>
      <family val="2"/>
      <scheme val="minor"/>
    </font>
    <font>
      <b/>
      <sz val="18"/>
      <color theme="3"/>
      <name val="Cambria"/>
      <family val="2"/>
      <scheme val="major"/>
    </font>
    <font>
      <b/>
      <sz val="11"/>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
      <b/>
      <sz val="13"/>
      <name val="Calibri"/>
      <family val="2"/>
      <scheme val="minor"/>
    </font>
    <font>
      <sz val="13"/>
      <name val="Calibri"/>
      <family val="2"/>
      <scheme val="minor"/>
    </font>
    <font>
      <i/>
      <sz val="12"/>
      <name val="Calibri"/>
      <family val="2"/>
      <scheme val="minor"/>
    </font>
    <font>
      <b/>
      <sz val="18"/>
      <color theme="1"/>
      <name val="Calibri"/>
      <family val="2"/>
      <scheme val="minor"/>
    </font>
    <font>
      <b/>
      <sz val="12"/>
      <name val="Calibri"/>
      <family val="2"/>
    </font>
    <font>
      <b/>
      <sz val="10"/>
      <color rgb="FF1B1C1D"/>
      <name val="Arial"/>
      <family val="2"/>
    </font>
    <font>
      <b/>
      <sz val="10"/>
      <color rgb="FF444746"/>
      <name val="Arial"/>
      <family val="2"/>
    </font>
    <font>
      <sz val="10"/>
      <color rgb="FF1B1C1D"/>
      <name val="Arial"/>
      <family val="2"/>
    </font>
    <font>
      <sz val="10"/>
      <color theme="1"/>
      <name val="Arial"/>
      <family val="2"/>
    </font>
    <font>
      <sz val="10"/>
      <color rgb="FF444746"/>
      <name val="Arial"/>
      <family val="2"/>
    </font>
    <font>
      <b/>
      <sz val="10"/>
      <color theme="1"/>
      <name val="Arial"/>
      <family val="2"/>
    </font>
    <font>
      <sz val="10"/>
      <color theme="0" tint="-0.14999847407452621"/>
      <name val="Arial"/>
      <family val="2"/>
    </font>
    <font>
      <i/>
      <sz val="10"/>
      <color theme="1"/>
      <name val="Arial"/>
      <family val="2"/>
    </font>
    <font>
      <b/>
      <sz val="10"/>
      <color rgb="FF1B1C1D"/>
      <name val="Calibri"/>
      <family val="2"/>
      <scheme val="minor"/>
    </font>
    <font>
      <i/>
      <sz val="10"/>
      <color theme="1"/>
      <name val="Calibri"/>
      <family val="2"/>
      <scheme val="minor"/>
    </font>
  </fonts>
  <fills count="13">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F8FAFD"/>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6">
    <xf numFmtId="0" fontId="0" fillId="0" borderId="0"/>
    <xf numFmtId="44" fontId="3" fillId="0" borderId="0"/>
    <xf numFmtId="0" fontId="9" fillId="0" borderId="0"/>
    <xf numFmtId="0" fontId="11" fillId="0" borderId="0"/>
    <xf numFmtId="9" fontId="3" fillId="0" borderId="0"/>
    <xf numFmtId="43" fontId="3" fillId="0" borderId="0"/>
  </cellStyleXfs>
  <cellXfs count="162">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9" fillId="0" borderId="0" xfId="2" applyAlignment="1">
      <alignment vertical="center" wrapText="1"/>
    </xf>
    <xf numFmtId="0" fontId="5" fillId="0" borderId="0" xfId="0" applyFont="1" applyAlignment="1">
      <alignment vertical="center" wrapText="1"/>
    </xf>
    <xf numFmtId="0" fontId="10" fillId="0" borderId="0" xfId="2" applyFont="1" applyAlignment="1">
      <alignment vertical="center" wrapText="1"/>
    </xf>
    <xf numFmtId="0" fontId="5" fillId="4" borderId="0" xfId="0" applyFont="1" applyFill="1" applyAlignment="1">
      <alignment vertical="center" wrapText="1"/>
    </xf>
    <xf numFmtId="0" fontId="0" fillId="3" borderId="0" xfId="0" applyFill="1"/>
    <xf numFmtId="0" fontId="12" fillId="0" borderId="0" xfId="0" applyFont="1"/>
    <xf numFmtId="0" fontId="13" fillId="2" borderId="1" xfId="0" applyFont="1" applyFill="1" applyBorder="1"/>
    <xf numFmtId="0" fontId="13" fillId="0" borderId="0" xfId="0" applyFont="1"/>
    <xf numFmtId="166" fontId="0" fillId="0" borderId="0" xfId="0" applyNumberFormat="1"/>
    <xf numFmtId="0" fontId="3" fillId="0" borderId="0" xfId="0" applyFont="1"/>
    <xf numFmtId="0" fontId="14" fillId="2" borderId="1" xfId="0" applyFont="1" applyFill="1" applyBorder="1"/>
    <xf numFmtId="165" fontId="3" fillId="0" borderId="0" xfId="1" applyNumberFormat="1"/>
    <xf numFmtId="0" fontId="1" fillId="3" borderId="0" xfId="0" applyFont="1" applyFill="1"/>
    <xf numFmtId="0" fontId="16" fillId="0" borderId="0" xfId="0" applyFont="1"/>
    <xf numFmtId="0" fontId="12" fillId="2" borderId="1" xfId="0" applyFont="1" applyFill="1" applyBorder="1"/>
    <xf numFmtId="0" fontId="1" fillId="6" borderId="0" xfId="0" applyFont="1" applyFill="1"/>
    <xf numFmtId="0" fontId="13" fillId="6" borderId="0" xfId="0" applyFont="1" applyFill="1"/>
    <xf numFmtId="0" fontId="12"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15"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17" fillId="0" borderId="5" xfId="0" applyFont="1" applyBorder="1" applyAlignment="1">
      <alignment horizontal="center" vertical="center"/>
    </xf>
    <xf numFmtId="0" fontId="12" fillId="8" borderId="0" xfId="0" applyFont="1" applyFill="1"/>
    <xf numFmtId="0" fontId="12" fillId="9" borderId="0" xfId="0" applyFont="1" applyFill="1"/>
    <xf numFmtId="0" fontId="5" fillId="6" borderId="0" xfId="0" applyFont="1" applyFill="1"/>
    <xf numFmtId="0" fontId="19"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0" fillId="0" borderId="0" xfId="0" applyFont="1"/>
    <xf numFmtId="0" fontId="19" fillId="0" borderId="0" xfId="0" applyFont="1"/>
    <xf numFmtId="0" fontId="0" fillId="6" borderId="0" xfId="0" applyFill="1" applyAlignment="1">
      <alignment horizontal="left"/>
    </xf>
    <xf numFmtId="0" fontId="1" fillId="6" borderId="0" xfId="0" applyFont="1" applyFill="1" applyAlignment="1">
      <alignment horizontal="left"/>
    </xf>
    <xf numFmtId="0" fontId="21" fillId="11" borderId="0" xfId="0" applyFont="1" applyFill="1"/>
    <xf numFmtId="0" fontId="21" fillId="11" borderId="0" xfId="0" applyFont="1" applyFill="1" applyAlignment="1">
      <alignment horizontal="center" vertical="center"/>
    </xf>
    <xf numFmtId="0" fontId="22" fillId="11" borderId="0" xfId="0" applyFont="1" applyFill="1" applyAlignment="1">
      <alignment horizontal="left"/>
    </xf>
    <xf numFmtId="167" fontId="22"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1" borderId="0" xfId="0" applyFont="1" applyFill="1"/>
    <xf numFmtId="1" fontId="0" fillId="11" borderId="0" xfId="0" applyNumberFormat="1" applyFill="1" applyAlignment="1">
      <alignment horizontal="right" vertical="center"/>
    </xf>
    <xf numFmtId="0" fontId="18" fillId="11" borderId="0" xfId="0" applyFont="1" applyFill="1"/>
    <xf numFmtId="0" fontId="0" fillId="11" borderId="0" xfId="0" applyFill="1"/>
    <xf numFmtId="0" fontId="23" fillId="0" borderId="0" xfId="0" applyFont="1"/>
    <xf numFmtId="0" fontId="1" fillId="2" borderId="1" xfId="0" applyFont="1" applyFill="1" applyBorder="1" applyAlignment="1">
      <alignment wrapText="1"/>
    </xf>
    <xf numFmtId="0" fontId="0" fillId="0" borderId="0" xfId="0" applyAlignment="1">
      <alignment wrapText="1"/>
    </xf>
    <xf numFmtId="0" fontId="24" fillId="0" borderId="0" xfId="3" applyFont="1"/>
    <xf numFmtId="0" fontId="25" fillId="0" borderId="0" xfId="0" applyFont="1"/>
    <xf numFmtId="0" fontId="0" fillId="6" borderId="0" xfId="0" applyFill="1" applyAlignment="1">
      <alignment horizontal="left" vertical="center" indent="1"/>
    </xf>
    <xf numFmtId="0" fontId="1" fillId="6" borderId="0" xfId="0" applyFont="1" applyFill="1" applyAlignment="1">
      <alignment horizontal="left" vertical="center" indent="1"/>
    </xf>
    <xf numFmtId="0" fontId="27" fillId="6" borderId="0" xfId="0" applyFont="1" applyFill="1" applyAlignment="1">
      <alignment vertical="center"/>
    </xf>
    <xf numFmtId="0" fontId="0" fillId="6" borderId="0" xfId="0" applyFill="1" applyAlignment="1">
      <alignment horizontal="left" vertical="center"/>
    </xf>
    <xf numFmtId="0" fontId="1" fillId="6" borderId="0" xfId="0" applyFont="1" applyFill="1" applyAlignment="1">
      <alignment horizontal="left" vertical="center"/>
    </xf>
    <xf numFmtId="0" fontId="28" fillId="6" borderId="0" xfId="0" applyFont="1" applyFill="1"/>
    <xf numFmtId="0" fontId="8" fillId="6" borderId="0" xfId="0" applyFont="1" applyFill="1"/>
    <xf numFmtId="0" fontId="0" fillId="4" borderId="0" xfId="0" applyFill="1" applyAlignment="1">
      <alignment vertical="center" wrapText="1"/>
    </xf>
    <xf numFmtId="0" fontId="9" fillId="4" borderId="0" xfId="2" applyFill="1"/>
    <xf numFmtId="0" fontId="29" fillId="0" borderId="8" xfId="0" applyFont="1" applyBorder="1" applyAlignment="1">
      <alignment vertical="center" wrapText="1" readingOrder="1"/>
    </xf>
    <xf numFmtId="0" fontId="31" fillId="0" borderId="0" xfId="0" applyFont="1" applyAlignment="1">
      <alignment horizontal="center" vertical="center" wrapText="1" readingOrder="1"/>
    </xf>
    <xf numFmtId="0" fontId="30" fillId="0" borderId="9" xfId="0" applyFont="1" applyBorder="1" applyAlignment="1">
      <alignment vertical="center" wrapText="1" readingOrder="1"/>
    </xf>
    <xf numFmtId="0" fontId="32" fillId="0" borderId="0" xfId="0" applyFont="1"/>
    <xf numFmtId="0" fontId="32" fillId="0" borderId="0" xfId="0" applyFont="1" applyAlignment="1">
      <alignment horizontal="center" vertical="center"/>
    </xf>
    <xf numFmtId="0" fontId="29" fillId="12" borderId="0" xfId="0" applyFont="1" applyFill="1" applyAlignment="1">
      <alignment horizontal="center" vertical="center" wrapText="1"/>
    </xf>
    <xf numFmtId="3" fontId="0" fillId="0" borderId="0" xfId="0" applyNumberFormat="1"/>
    <xf numFmtId="3" fontId="0" fillId="7" borderId="0" xfId="0" applyNumberFormat="1" applyFill="1"/>
    <xf numFmtId="0" fontId="0" fillId="7" borderId="0" xfId="0" applyFill="1"/>
    <xf numFmtId="0" fontId="0" fillId="7" borderId="0" xfId="0" applyFill="1" applyAlignment="1">
      <alignment horizontal="center" vertical="top"/>
    </xf>
    <xf numFmtId="1" fontId="32" fillId="0" borderId="0" xfId="0" applyNumberFormat="1" applyFont="1"/>
    <xf numFmtId="1" fontId="32" fillId="0" borderId="0" xfId="0" applyNumberFormat="1" applyFont="1" applyAlignment="1">
      <alignment horizontal="center" vertical="center"/>
    </xf>
    <xf numFmtId="5" fontId="31" fillId="0" borderId="0" xfId="0" applyNumberFormat="1" applyFont="1" applyAlignment="1">
      <alignment horizontal="center" vertical="center" wrapText="1" readingOrder="1"/>
    </xf>
    <xf numFmtId="5" fontId="32" fillId="0" borderId="0" xfId="0" applyNumberFormat="1" applyFont="1"/>
    <xf numFmtId="7" fontId="32" fillId="0" borderId="0" xfId="0" applyNumberFormat="1" applyFont="1"/>
    <xf numFmtId="0" fontId="34" fillId="0" borderId="0" xfId="0" applyFont="1"/>
    <xf numFmtId="0" fontId="31" fillId="0" borderId="1" xfId="0" applyFont="1" applyBorder="1" applyAlignment="1">
      <alignment vertical="center" wrapText="1" readingOrder="1"/>
    </xf>
    <xf numFmtId="0" fontId="33" fillId="0" borderId="1" xfId="0" applyFont="1" applyBorder="1" applyAlignment="1">
      <alignment vertical="center" wrapText="1" readingOrder="1"/>
    </xf>
    <xf numFmtId="0" fontId="32" fillId="0" borderId="1" xfId="0" applyFont="1" applyBorder="1"/>
    <xf numFmtId="0" fontId="32" fillId="3" borderId="1" xfId="0" applyFont="1" applyFill="1" applyBorder="1"/>
    <xf numFmtId="5" fontId="31" fillId="3" borderId="0" xfId="0" applyNumberFormat="1" applyFont="1" applyFill="1" applyAlignment="1">
      <alignment horizontal="center" vertical="center" wrapText="1" readingOrder="1"/>
    </xf>
    <xf numFmtId="0" fontId="32" fillId="3" borderId="0" xfId="0" applyFont="1" applyFill="1"/>
    <xf numFmtId="0" fontId="32" fillId="4" borderId="0" xfId="0" applyFont="1" applyFill="1"/>
    <xf numFmtId="5" fontId="32" fillId="4" borderId="0" xfId="0" applyNumberFormat="1" applyFont="1" applyFill="1"/>
    <xf numFmtId="5" fontId="32" fillId="3" borderId="0" xfId="0" applyNumberFormat="1" applyFont="1" applyFill="1"/>
    <xf numFmtId="5" fontId="32" fillId="7" borderId="0" xfId="0" applyNumberFormat="1" applyFont="1" applyFill="1"/>
    <xf numFmtId="0" fontId="31" fillId="0" borderId="0" xfId="0" applyFont="1" applyAlignment="1">
      <alignment vertical="center" wrapText="1" readingOrder="1"/>
    </xf>
    <xf numFmtId="0" fontId="29" fillId="0" borderId="0" xfId="0" applyFont="1" applyAlignment="1">
      <alignment horizontal="center" vertical="center" wrapText="1"/>
    </xf>
    <xf numFmtId="0" fontId="33" fillId="0" borderId="0" xfId="0" applyFont="1" applyAlignment="1">
      <alignment vertical="center" wrapText="1" readingOrder="1"/>
    </xf>
    <xf numFmtId="9" fontId="32" fillId="0" borderId="0" xfId="4" applyFont="1" applyAlignment="1">
      <alignment horizontal="center" vertical="center"/>
    </xf>
    <xf numFmtId="0" fontId="29" fillId="0" borderId="0" xfId="0" applyFont="1" applyAlignment="1">
      <alignment vertical="center" wrapText="1" readingOrder="1"/>
    </xf>
    <xf numFmtId="5" fontId="32" fillId="0" borderId="0" xfId="0" applyNumberFormat="1" applyFont="1" applyAlignment="1">
      <alignment horizontal="center" vertical="center"/>
    </xf>
    <xf numFmtId="0" fontId="35" fillId="0" borderId="0" xfId="0" applyFont="1" applyAlignment="1">
      <alignment horizontal="center" vertical="center"/>
    </xf>
    <xf numFmtId="0" fontId="34" fillId="0" borderId="11" xfId="0" applyFont="1" applyBorder="1" applyAlignment="1">
      <alignment horizontal="right" vertical="center"/>
    </xf>
    <xf numFmtId="0" fontId="34" fillId="3" borderId="10" xfId="0" applyFont="1" applyFill="1" applyBorder="1" applyAlignment="1">
      <alignment horizontal="center" vertical="center"/>
    </xf>
    <xf numFmtId="0" fontId="29" fillId="0" borderId="0" xfId="0" applyFont="1" applyAlignment="1">
      <alignment horizontal="center" vertical="center" wrapText="1" readingOrder="1"/>
    </xf>
    <xf numFmtId="0" fontId="32" fillId="0" borderId="0" xfId="0" applyFont="1" applyAlignment="1">
      <alignment horizontal="left" indent="2"/>
    </xf>
    <xf numFmtId="0" fontId="31" fillId="0" borderId="0" xfId="0" applyFont="1" applyAlignment="1">
      <alignment horizontal="left" vertical="center" wrapText="1" indent="4" readingOrder="1"/>
    </xf>
    <xf numFmtId="0" fontId="32" fillId="0" borderId="0" xfId="0" applyFont="1" applyAlignment="1">
      <alignment horizontal="left" indent="4"/>
    </xf>
    <xf numFmtId="0" fontId="33" fillId="0" borderId="0" xfId="0" applyFont="1" applyAlignment="1">
      <alignment horizontal="left" vertical="center" wrapText="1" indent="4" readingOrder="1"/>
    </xf>
    <xf numFmtId="5" fontId="32" fillId="0" borderId="13" xfId="0" applyNumberFormat="1" applyFont="1" applyBorder="1" applyAlignment="1">
      <alignment horizontal="center" vertical="center"/>
    </xf>
    <xf numFmtId="5" fontId="32" fillId="0" borderId="12" xfId="0" applyNumberFormat="1" applyFont="1" applyBorder="1" applyAlignment="1">
      <alignment horizontal="center" vertical="center"/>
    </xf>
    <xf numFmtId="0" fontId="34" fillId="0" borderId="10" xfId="0" applyFont="1" applyBorder="1"/>
    <xf numFmtId="0" fontId="36" fillId="0" borderId="0" xfId="0" applyFont="1"/>
    <xf numFmtId="5" fontId="34" fillId="0" borderId="13" xfId="0" applyNumberFormat="1" applyFont="1" applyBorder="1" applyAlignment="1">
      <alignment horizontal="center" vertical="center"/>
    </xf>
    <xf numFmtId="5" fontId="34" fillId="0" borderId="12" xfId="0" applyNumberFormat="1" applyFont="1" applyBorder="1" applyAlignment="1">
      <alignment horizontal="center" vertical="center"/>
    </xf>
    <xf numFmtId="5" fontId="34" fillId="0" borderId="0" xfId="0" applyNumberFormat="1" applyFont="1" applyAlignment="1">
      <alignment horizontal="center" vertical="center"/>
    </xf>
    <xf numFmtId="0" fontId="37" fillId="0" borderId="0" xfId="0" applyFont="1" applyAlignment="1">
      <alignment horizontal="center" vertical="center" wrapText="1" readingOrder="1"/>
    </xf>
    <xf numFmtId="5" fontId="5" fillId="0" borderId="0" xfId="0" applyNumberFormat="1" applyFont="1" applyAlignment="1">
      <alignment horizontal="center" vertical="center"/>
    </xf>
    <xf numFmtId="0" fontId="5" fillId="0" borderId="0" xfId="0" applyFont="1" applyAlignment="1">
      <alignment vertical="center"/>
    </xf>
    <xf numFmtId="1" fontId="5" fillId="0" borderId="0" xfId="0" applyNumberFormat="1" applyFont="1" applyAlignment="1">
      <alignment horizontal="center" vertical="center"/>
    </xf>
    <xf numFmtId="1" fontId="5" fillId="0" borderId="0" xfId="5" applyNumberFormat="1" applyFont="1" applyAlignment="1">
      <alignment horizontal="center" vertical="center"/>
    </xf>
    <xf numFmtId="0" fontId="0" fillId="0" borderId="0" xfId="0"/>
    <xf numFmtId="0" fontId="32" fillId="0" borderId="0" xfId="0" applyFont="1" applyAlignment="1">
      <alignment horizontal="center" vertical="center" wrapText="1"/>
    </xf>
    <xf numFmtId="0" fontId="32" fillId="0" borderId="0" xfId="0" applyFont="1"/>
    <xf numFmtId="0" fontId="5" fillId="11" borderId="0" xfId="0" applyFont="1" applyFill="1" applyAlignment="1">
      <alignment horizontal="left" vertical="center" wrapText="1"/>
    </xf>
    <xf numFmtId="0" fontId="17"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6" fillId="3" borderId="0" xfId="0" applyFont="1" applyFill="1" applyAlignment="1">
      <alignment horizontal="center"/>
    </xf>
    <xf numFmtId="0" fontId="19" fillId="10" borderId="0" xfId="0" applyFont="1" applyFill="1"/>
    <xf numFmtId="0" fontId="5" fillId="0" borderId="0" xfId="0" applyFont="1"/>
    <xf numFmtId="0" fontId="15" fillId="3" borderId="5" xfId="0" applyFont="1" applyFill="1" applyBorder="1" applyAlignment="1">
      <alignment horizontal="center"/>
    </xf>
    <xf numFmtId="0" fontId="4" fillId="2" borderId="1" xfId="0" applyFont="1" applyFill="1" applyBorder="1" applyAlignment="1">
      <alignment horizontal="center"/>
    </xf>
    <xf numFmtId="0" fontId="0" fillId="0" borderId="3" xfId="0" applyBorder="1"/>
    <xf numFmtId="0" fontId="0" fillId="0" borderId="2" xfId="0" applyBorder="1"/>
    <xf numFmtId="0" fontId="0" fillId="0" borderId="0" xfId="0" applyAlignment="1">
      <alignment horizontal="left" vertical="center" wrapText="1"/>
    </xf>
    <xf numFmtId="0" fontId="38" fillId="0" borderId="0" xfId="0" applyFont="1"/>
    <xf numFmtId="0" fontId="5" fillId="0" borderId="0" xfId="0" applyFont="1" applyAlignment="1">
      <alignment horizontal="center" vertical="center"/>
    </xf>
    <xf numFmtId="0" fontId="15" fillId="0" borderId="0" xfId="0" applyFont="1"/>
    <xf numFmtId="0" fontId="2" fillId="0" borderId="0" xfId="0" applyFont="1" applyAlignment="1">
      <alignment wrapText="1"/>
    </xf>
  </cellXfs>
  <cellStyles count="6">
    <cellStyle name="Comma" xfId="5" builtinId="3"/>
    <cellStyle name="Currency" xfId="1" builtinId="4"/>
    <cellStyle name="Hyperlink" xfId="2" builtinId="8"/>
    <cellStyle name="Normal" xfId="0" builtinId="0"/>
    <cellStyle name="Percent" xfId="4" builtinId="5"/>
    <cellStyle name="Title" xfId="3" builtinId="15"/>
  </cellStyles>
  <dxfs count="40">
    <dxf>
      <fill>
        <patternFill>
          <bgColor rgb="FFFFC7CE"/>
        </patternFill>
      </fill>
    </dxf>
    <dxf>
      <fill>
        <patternFill>
          <bgColor theme="6" tint="0.39994506668294322"/>
        </patternFill>
      </fill>
    </dxf>
    <dxf>
      <fill>
        <patternFill>
          <bgColor rgb="FFF9E101"/>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rgb="FFF9E101"/>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rgb="FFF9E101"/>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rgb="FFF9E101"/>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rgb="FFF9E101"/>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rgb="FFF9E101"/>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rgb="FFF9E101"/>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rgb="FFF9E101"/>
        </patternFill>
      </fill>
    </dxf>
    <dxf>
      <fill>
        <patternFill>
          <bgColor theme="6" tint="0.39994506668294322"/>
        </patternFill>
      </fill>
    </dxf>
    <dxf>
      <fill>
        <patternFill>
          <bgColor rgb="FFFFC7CE"/>
        </patternFill>
      </fill>
    </dxf>
  </dxfs>
  <tableStyles count="0" defaultTableStyle="TableStyleMedium9" defaultPivotStyle="PivotStyleLight16"/>
  <colors>
    <mruColors>
      <color rgb="FFF9E101"/>
      <color rgb="FFFFC7CE"/>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2672-4B59-8275-3EE95BA079FA}"/>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2672-4B59-8275-3EE95BA079FA}"/>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2314479.9999999995</c:v>
                </c:pt>
                <c:pt idx="1">
                  <c:v>0</c:v>
                </c:pt>
              </c:numCache>
            </c:numRef>
          </c:val>
          <c:extLst>
            <c:ext xmlns:c16="http://schemas.microsoft.com/office/drawing/2014/chart" uri="{C3380CC4-5D6E-409C-BE32-E72D297353CC}">
              <c16:uniqueId val="{00000004-2672-4B59-8275-3EE95BA079FA}"/>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8BE3-455E-BEBF-051EC89D578B}"/>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8BE3-455E-BEBF-051EC89D578B}"/>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540000</c:v>
                </c:pt>
                <c:pt idx="1">
                  <c:v>-440000</c:v>
                </c:pt>
              </c:numCache>
            </c:numRef>
          </c:val>
          <c:extLst>
            <c:ext xmlns:c16="http://schemas.microsoft.com/office/drawing/2014/chart" uri="{C3380CC4-5D6E-409C-BE32-E72D297353CC}">
              <c16:uniqueId val="{00000004-8BE3-455E-BEBF-051EC89D578B}"/>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252007.49311030656</c:v>
                </c:pt>
                <c:pt idx="1">
                  <c:v>349612.68043806497</c:v>
                </c:pt>
                <c:pt idx="2">
                  <c:v>547880.78407011135</c:v>
                </c:pt>
                <c:pt idx="3">
                  <c:v>711002.88495848514</c:v>
                </c:pt>
                <c:pt idx="4">
                  <c:v>815010.4570824476</c:v>
                </c:pt>
              </c:numCache>
            </c:numRef>
          </c:val>
          <c:smooth val="0"/>
          <c:extLst>
            <c:ext xmlns:c16="http://schemas.microsoft.com/office/drawing/2014/chart" uri="{C3380CC4-5D6E-409C-BE32-E72D297353CC}">
              <c16:uniqueId val="{00000000-5F2F-42D4-BB1C-15FF6C00179A}"/>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-459335.03052499983</c:v>
                </c:pt>
                <c:pt idx="1">
                  <c:v>-500524.68659986276</c:v>
                </c:pt>
                <c:pt idx="2">
                  <c:v>-542877.76233799849</c:v>
                </c:pt>
                <c:pt idx="3">
                  <c:v>-586423.94478316884</c:v>
                </c:pt>
                <c:pt idx="4">
                  <c:v>-631193.6658622073</c:v>
                </c:pt>
              </c:numCache>
            </c:numRef>
          </c:val>
          <c:smooth val="0"/>
          <c:extLst>
            <c:ext xmlns:c16="http://schemas.microsoft.com/office/drawing/2014/chart" uri="{C3380CC4-5D6E-409C-BE32-E72D297353CC}">
              <c16:uniqueId val="{00000001-5F2F-42D4-BB1C-15FF6C00179A}"/>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Summary_Figures!$P$2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Summary_Figures!$L$4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B3_StatusQuo_Targets</c:v>
                </c:pt>
                <c:pt idx="2">
                  <c:v>C2_CoLocation_Echo_Targets</c:v>
                </c:pt>
                <c:pt idx="3">
                  <c:v>C1_Grow_Both_Targets</c:v>
                </c:pt>
                <c:pt idx="4">
                  <c:v>B2_StatusQuo_Steady</c:v>
                </c:pt>
                <c:pt idx="5">
                  <c:v>D2_EchoGHubRamp_PimaTargets</c:v>
                </c:pt>
                <c:pt idx="6">
                  <c:v>A1_Repurpose_Both_ops</c:v>
                </c:pt>
                <c:pt idx="7">
                  <c:v>A2_Repurpose_Both_lease</c:v>
                </c:pt>
                <c:pt idx="8">
                  <c:v>D2_Repurpose_Echo_lease_PimaTargets</c:v>
                </c:pt>
                <c:pt idx="9">
                  <c:v>D1_Repurpose_Echo_ops_PimaTargets</c:v>
                </c:pt>
                <c:pt idx="10">
                  <c:v>D2_Repurpose_Pima_lease_EchoGHub_EchoTargets</c:v>
                </c:pt>
                <c:pt idx="11">
                  <c:v>D1_Repurpose_Pima_ops_EchoGHub_EchoTargets</c:v>
                </c:pt>
                <c:pt idx="12">
                  <c:v>B1_StatusQuo_Decline</c:v>
                </c:pt>
              </c:strCache>
            </c:strRef>
          </c:cat>
          <c:val>
            <c:numRef>
              <c:f>Summary_Figures!$L$5:$L$17</c:f>
              <c:numCache>
                <c:formatCode>_-\$* #,##0_-;\-\$* #,##0_-;_-* "-"??_-;_-@_-</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#N/A</c:v>
                </c:pt>
              </c:numCache>
            </c:numRef>
          </c:val>
          <c:extLst>
            <c:ext xmlns:c16="http://schemas.microsoft.com/office/drawing/2014/chart" uri="{C3380CC4-5D6E-409C-BE32-E72D297353CC}">
              <c16:uniqueId val="{00000000-23A1-477A-970F-2EE931D602EB}"/>
            </c:ext>
          </c:extLst>
        </c:ser>
        <c:ser>
          <c:idx val="2"/>
          <c:order val="1"/>
          <c:tx>
            <c:strRef>
              <c:f>Summary_Figures!$M$4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B3_StatusQuo_Targets</c:v>
                </c:pt>
                <c:pt idx="2">
                  <c:v>C2_CoLocation_Echo_Targets</c:v>
                </c:pt>
                <c:pt idx="3">
                  <c:v>C1_Grow_Both_Targets</c:v>
                </c:pt>
                <c:pt idx="4">
                  <c:v>B2_StatusQuo_Steady</c:v>
                </c:pt>
                <c:pt idx="5">
                  <c:v>D2_EchoGHubRamp_PimaTargets</c:v>
                </c:pt>
                <c:pt idx="6">
                  <c:v>A1_Repurpose_Both_ops</c:v>
                </c:pt>
                <c:pt idx="7">
                  <c:v>A2_Repurpose_Both_lease</c:v>
                </c:pt>
                <c:pt idx="8">
                  <c:v>D2_Repurpose_Echo_lease_PimaTargets</c:v>
                </c:pt>
                <c:pt idx="9">
                  <c:v>D1_Repurpose_Echo_ops_PimaTargets</c:v>
                </c:pt>
                <c:pt idx="10">
                  <c:v>D2_Repurpose_Pima_lease_EchoGHub_EchoTargets</c:v>
                </c:pt>
                <c:pt idx="11">
                  <c:v>D1_Repurpose_Pima_ops_EchoGHub_EchoTargets</c:v>
                </c:pt>
                <c:pt idx="12">
                  <c:v>B1_StatusQuo_Decline</c:v>
                </c:pt>
              </c:strCache>
            </c:strRef>
          </c:cat>
          <c:val>
            <c:numRef>
              <c:f>Summary_Figures!$M$5:$M$17</c:f>
              <c:numCache>
                <c:formatCode>_-\$* #,##0_-;\-\$* #,##0_-;_-* "-"??_-;_-@_-</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#N/A</c:v>
                </c:pt>
              </c:numCache>
            </c:numRef>
          </c:val>
          <c:extLst>
            <c:ext xmlns:c16="http://schemas.microsoft.com/office/drawing/2014/chart" uri="{C3380CC4-5D6E-409C-BE32-E72D297353CC}">
              <c16:uniqueId val="{00000001-23A1-477A-970F-2EE931D602EB}"/>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Summary_Figures!$P$3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B3_StatusQuo_Targets</c:v>
                </c:pt>
                <c:pt idx="2">
                  <c:v>C2_CoLocation_Echo_Targets</c:v>
                </c:pt>
                <c:pt idx="3">
                  <c:v>C1_Grow_Both_Targets</c:v>
                </c:pt>
                <c:pt idx="4">
                  <c:v>B2_StatusQuo_Steady</c:v>
                </c:pt>
                <c:pt idx="5">
                  <c:v>D2_EchoGHubRamp_PimaTargets</c:v>
                </c:pt>
                <c:pt idx="6">
                  <c:v>A1_Repurpose_Both_ops</c:v>
                </c:pt>
                <c:pt idx="7">
                  <c:v>A2_Repurpose_Both_lease</c:v>
                </c:pt>
                <c:pt idx="8">
                  <c:v>D2_Repurpose_Echo_lease_PimaTargets</c:v>
                </c:pt>
                <c:pt idx="9">
                  <c:v>D1_Repurpose_Echo_ops_PimaTargets</c:v>
                </c:pt>
                <c:pt idx="10">
                  <c:v>D2_Repurpose_Pima_lease_EchoGHub_EchoTargets</c:v>
                </c:pt>
                <c:pt idx="11">
                  <c:v>D1_Repurpose_Pima_ops_EchoGHub_EchoTargets</c:v>
                </c:pt>
                <c:pt idx="12">
                  <c:v>B1_StatusQuo_Decline</c:v>
                </c:pt>
              </c:strCache>
            </c:strRef>
          </c:cat>
          <c:val>
            <c:numRef>
              <c:f>Summary_Figures!$C$5:$C$17</c:f>
              <c:numCache>
                <c:formatCode>_-\$* #,##0_-;\-\$* #,##0_-;_-* "-"??_-;_-@_-</c:formatCode>
                <c:ptCount val="13"/>
                <c:pt idx="0">
                  <c:v>0</c:v>
                </c:pt>
                <c:pt idx="1">
                  <c:v>0</c:v>
                </c:pt>
                <c:pt idx="2">
                  <c:v>0</c:v>
                </c:pt>
                <c:pt idx="3">
                  <c:v>-1800000</c:v>
                </c:pt>
                <c:pt idx="4">
                  <c:v>0</c:v>
                </c:pt>
                <c:pt idx="5">
                  <c:v>-800000</c:v>
                </c:pt>
                <c:pt idx="6">
                  <c:v>-2714479.9999999995</c:v>
                </c:pt>
                <c:pt idx="7">
                  <c:v>-2314479.9999999995</c:v>
                </c:pt>
                <c:pt idx="8">
                  <c:v>-1600000</c:v>
                </c:pt>
                <c:pt idx="9">
                  <c:v>-1800000</c:v>
                </c:pt>
                <c:pt idx="10">
                  <c:v>-1600000</c:v>
                </c:pt>
                <c:pt idx="11">
                  <c:v>-1800000</c:v>
                </c:pt>
                <c:pt idx="12">
                  <c:v>0</c:v>
                </c:pt>
              </c:numCache>
            </c:numRef>
          </c:val>
          <c:extLst>
            <c:ext xmlns:c16="http://schemas.microsoft.com/office/drawing/2014/chart" uri="{C3380CC4-5D6E-409C-BE32-E72D297353CC}">
              <c16:uniqueId val="{00000000-F12C-4B9A-8D17-67697ED82F28}"/>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B3_StatusQuo_Targets</c:v>
                </c:pt>
                <c:pt idx="2">
                  <c:v>C2_CoLocation_Echo_Targets</c:v>
                </c:pt>
                <c:pt idx="3">
                  <c:v>C1_Grow_Both_Targets</c:v>
                </c:pt>
                <c:pt idx="4">
                  <c:v>B2_StatusQuo_Steady</c:v>
                </c:pt>
                <c:pt idx="5">
                  <c:v>D2_EchoGHubRamp_PimaTargets</c:v>
                </c:pt>
                <c:pt idx="6">
                  <c:v>A1_Repurpose_Both_ops</c:v>
                </c:pt>
                <c:pt idx="7">
                  <c:v>A2_Repurpose_Both_lease</c:v>
                </c:pt>
                <c:pt idx="8">
                  <c:v>D2_Repurpose_Echo_lease_PimaTargets</c:v>
                </c:pt>
                <c:pt idx="9">
                  <c:v>D1_Repurpose_Echo_ops_PimaTargets</c:v>
                </c:pt>
                <c:pt idx="10">
                  <c:v>D2_Repurpose_Pima_lease_EchoGHub_EchoTargets</c:v>
                </c:pt>
                <c:pt idx="11">
                  <c:v>D1_Repurpose_Pima_ops_EchoGHub_EchoTargets</c:v>
                </c:pt>
                <c:pt idx="12">
                  <c:v>B1_StatusQuo_Decline</c:v>
                </c:pt>
              </c:strCache>
            </c:strRef>
          </c:cat>
          <c:val>
            <c:numRef>
              <c:f>Summary_Figures!$G$5:$G$17</c:f>
              <c:numCache>
                <c:formatCode>_-\$* #,##0_-;\-\$* #,##0_-;_-* "-"??_-;_-@_-</c:formatCode>
                <c:ptCount val="13"/>
                <c:pt idx="0">
                  <c:v>-482883.16383480671</c:v>
                </c:pt>
                <c:pt idx="1">
                  <c:v>-159726.96940825321</c:v>
                </c:pt>
                <c:pt idx="2">
                  <c:v>86056.374606127109</c:v>
                </c:pt>
                <c:pt idx="3">
                  <c:v>163429.22501830029</c:v>
                </c:pt>
                <c:pt idx="4">
                  <c:v>-482883.16383480671</c:v>
                </c:pt>
                <c:pt idx="5">
                  <c:v>55710.493542782591</c:v>
                </c:pt>
                <c:pt idx="6">
                  <c:v>-487110.59095861949</c:v>
                </c:pt>
                <c:pt idx="7">
                  <c:v>535102.85993188317</c:v>
                </c:pt>
                <c:pt idx="8">
                  <c:v>139710.41622982174</c:v>
                </c:pt>
                <c:pt idx="9">
                  <c:v>-338554.74787073734</c:v>
                </c:pt>
                <c:pt idx="10">
                  <c:v>343387.8709735591</c:v>
                </c:pt>
                <c:pt idx="11">
                  <c:v>-200560.41581638419</c:v>
                </c:pt>
                <c:pt idx="12">
                  <c:v>-544071.01802164747</c:v>
                </c:pt>
              </c:numCache>
            </c:numRef>
          </c:val>
          <c:extLst>
            <c:ext xmlns:c16="http://schemas.microsoft.com/office/drawing/2014/chart" uri="{C3380CC4-5D6E-409C-BE32-E72D297353CC}">
              <c16:uniqueId val="{00000001-F12C-4B9A-8D17-67697ED82F28}"/>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1155701</xdr:colOff>
      <xdr:row>4</xdr:row>
      <xdr:rowOff>55035</xdr:rowOff>
    </xdr:from>
    <xdr:to>
      <xdr:col>18</xdr:col>
      <xdr:colOff>309034</xdr:colOff>
      <xdr:row>22</xdr:row>
      <xdr:rowOff>61385</xdr:rowOff>
    </xdr:to>
    <xdr:sp macro="" textlink="">
      <xdr:nvSpPr>
        <xdr:cNvPr id="2" name="Rectangle 1">
          <a:extLst>
            <a:ext uri="{FF2B5EF4-FFF2-40B4-BE49-F238E27FC236}">
              <a16:creationId xmlns:a16="http://schemas.microsoft.com/office/drawing/2014/main" id="{CFDE89E8-E96A-D83B-0DEE-9BCED341E3B5}"/>
            </a:ext>
          </a:extLst>
        </xdr:cNvPr>
        <xdr:cNvSpPr/>
      </xdr:nvSpPr>
      <xdr:spPr>
        <a:xfrm>
          <a:off x="14812434" y="1274235"/>
          <a:ext cx="5325533" cy="31728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-what about adding fy26 or fy30 on its own?</a:t>
          </a:r>
        </a:p>
        <a:p>
          <a:pPr algn="l"/>
          <a:r>
            <a:rPr lang="en-US" sz="1100"/>
            <a:t>-is reversibility ok?</a:t>
          </a:r>
        </a:p>
        <a:p>
          <a:pPr algn="l"/>
          <a:r>
            <a:rPr lang="en-US" sz="1100"/>
            <a:t>-overall does this make sense?  is it compelling?</a:t>
          </a:r>
        </a:p>
        <a:p>
          <a:pPr algn="l"/>
          <a:r>
            <a:rPr lang="en-US" sz="1100"/>
            <a:t>-need also to do a comprehensive validation of calculations throughout the doc... also of assumptions and parametes</a:t>
          </a:r>
        </a:p>
        <a:p>
          <a:pPr algn="l"/>
          <a:r>
            <a:rPr lang="en-US" sz="1100"/>
            <a:t>-also</a:t>
          </a:r>
          <a:r>
            <a:rPr lang="en-US" sz="1100" baseline="0"/>
            <a:t> - is pre-k logic working?  making sense?  are assumed paremeters reasonable and translainting to a reasonable hypothetical?</a:t>
          </a:r>
        </a:p>
        <a:p>
          <a:pPr algn="l"/>
          <a:r>
            <a:rPr lang="en-US" sz="1100" baseline="0"/>
            <a:t>-how about for lease avoidance?  is square footage choice reasonable?  can we back it up with some data e.g. finding the square footage of existing admin offices and making an assumptiom about how much they would try to move to echo... and seeing if that fits within echo given they will also have pre-k and shared use space for rent?</a:t>
          </a:r>
        </a:p>
        <a:p>
          <a:pPr algn="l"/>
          <a:r>
            <a:rPr lang="en-US" sz="1100" baseline="0"/>
            <a:t>-do we need to have some consideration for the shared use rent income?</a:t>
          </a:r>
        </a:p>
        <a:p>
          <a:pPr algn="l"/>
          <a:r>
            <a:rPr lang="en-US" sz="1100" baseline="0"/>
            <a:t>-is there any other income we should assume from the pima proposed under-performing kids repurpose operational scenario?  otherwise that scenario is short-changed.. right?</a:t>
          </a:r>
        </a:p>
        <a:p>
          <a:r>
            <a:rPr lang="en-US" sz="1100" baseline="0">
              <a:solidFill>
                <a:schemeClr val="lt1"/>
              </a:solidFill>
              <a:effectLst/>
              <a:latin typeface="+mn-lt"/>
              <a:ea typeface="+mn-ea"/>
              <a:cs typeface="+mn-cs"/>
            </a:rPr>
            <a:t>-site fixed assumptions - make sure they are in the spotlight assumptions.. and make clear we need the audited figures as a key part of this model</a:t>
          </a:r>
          <a:endParaRPr lang="en-US">
            <a:effectLst/>
          </a:endParaRPr>
        </a:p>
        <a:p>
          <a:r>
            <a:rPr lang="en-US" sz="1100" baseline="0">
              <a:solidFill>
                <a:schemeClr val="lt1"/>
              </a:solidFill>
              <a:effectLst/>
              <a:latin typeface="+mn-lt"/>
              <a:ea typeface="+mn-ea"/>
              <a:cs typeface="+mn-cs"/>
            </a:rPr>
            <a:t>-suggest that the model is dynamic if someone would like to revise / test audited inputs</a:t>
          </a:r>
          <a:endParaRPr lang="en-US">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xdr:from>
      <xdr:col>5</xdr:col>
      <xdr:colOff>332474</xdr:colOff>
      <xdr:row>19</xdr:row>
      <xdr:rowOff>123833</xdr:rowOff>
    </xdr:from>
    <xdr:to>
      <xdr:col>11</xdr:col>
      <xdr:colOff>11906</xdr:colOff>
      <xdr:row>42</xdr:row>
      <xdr:rowOff>105681</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246062</xdr:colOff>
      <xdr:row>0</xdr:row>
      <xdr:rowOff>151805</xdr:rowOff>
    </xdr:from>
    <xdr:to>
      <xdr:col>23</xdr:col>
      <xdr:colOff>15874</xdr:colOff>
      <xdr:row>42</xdr:row>
      <xdr:rowOff>142875</xdr:rowOff>
    </xdr:to>
    <xdr:pic>
      <xdr:nvPicPr>
        <xdr:cNvPr id="10" name="Graphic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1"/>
        <a:stretch>
          <a:fillRect/>
        </a:stretch>
      </xdr:blipFill>
      <xdr:spPr>
        <a:xfrm>
          <a:off x="246062" y="151805"/>
          <a:ext cx="13827125" cy="7777758"/>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www.azauditor.gov/sites/default/files/2023-09/HowToCalculateOperational-NonoperationalSpending.pdf?utm_source=chatgpt.com" TargetMode="External"/><Relationship Id="rId5" Type="http://schemas.openxmlformats.org/officeDocument/2006/relationships/hyperlink" Target="https://legiscan.com/AZ/text/HB2969/2025?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zoomScale="85" zoomScaleNormal="85" workbookViewId="0">
      <selection activeCell="T3" sqref="T3"/>
    </sheetView>
  </sheetViews>
  <sheetFormatPr defaultRowHeight="14.5" x14ac:dyDescent="0.35"/>
  <sheetData>
    <row r="1" spans="1:33"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x14ac:dyDescent="0.35">
      <c r="A3" s="12"/>
      <c r="B3" s="136"/>
      <c r="C3" s="136"/>
      <c r="D3" s="136"/>
      <c r="E3" s="136"/>
      <c r="F3" s="136"/>
      <c r="G3" s="136"/>
      <c r="H3" s="136"/>
      <c r="I3" s="136"/>
      <c r="J3" s="136"/>
      <c r="K3" s="136"/>
      <c r="L3" s="136"/>
      <c r="M3" s="136"/>
      <c r="N3" s="12"/>
      <c r="O3" s="12"/>
      <c r="P3" s="12"/>
      <c r="Q3" s="12"/>
      <c r="R3" s="12"/>
      <c r="S3" s="12"/>
      <c r="T3" s="12"/>
      <c r="U3" s="12"/>
      <c r="V3" s="12"/>
      <c r="W3" s="12"/>
      <c r="X3" s="12"/>
      <c r="Y3" s="12"/>
      <c r="Z3" s="12"/>
      <c r="AA3" s="12"/>
      <c r="AB3" s="12"/>
      <c r="AC3" s="12"/>
      <c r="AD3" s="12"/>
      <c r="AE3" s="12"/>
      <c r="AF3" s="12"/>
      <c r="AG3" s="12"/>
    </row>
    <row r="4" spans="1:33"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x14ac:dyDescent="0.35">
      <c r="A6" s="12"/>
      <c r="B6" s="136"/>
      <c r="C6" s="136"/>
      <c r="D6" s="136"/>
      <c r="E6" s="136"/>
      <c r="F6" s="136"/>
      <c r="G6" s="136"/>
      <c r="H6" s="136"/>
      <c r="I6" s="136"/>
      <c r="J6" s="136"/>
      <c r="K6" s="136"/>
      <c r="L6" s="136"/>
      <c r="M6" s="136"/>
      <c r="N6" s="12"/>
      <c r="O6" s="12"/>
      <c r="P6" s="12"/>
      <c r="Q6" s="12"/>
      <c r="R6" s="12"/>
      <c r="S6" s="12"/>
      <c r="T6" s="12"/>
      <c r="U6" s="12"/>
      <c r="V6" s="12"/>
      <c r="W6" s="12"/>
      <c r="X6" s="12"/>
      <c r="Y6" s="12"/>
      <c r="Z6" s="12"/>
      <c r="AA6" s="12"/>
      <c r="AB6" s="12"/>
      <c r="AC6" s="12"/>
      <c r="AD6" s="12"/>
      <c r="AE6" s="12"/>
      <c r="AF6" s="12"/>
      <c r="AG6" s="12"/>
    </row>
    <row r="7" spans="1:33" ht="14.5" customHeight="1"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x14ac:dyDescent="0.35">
      <c r="A9" s="12"/>
      <c r="B9" s="136"/>
      <c r="C9" s="136"/>
      <c r="D9" s="136"/>
      <c r="E9" s="136"/>
      <c r="F9" s="136"/>
      <c r="G9" s="136"/>
      <c r="H9" s="136"/>
      <c r="I9" s="136"/>
      <c r="J9" s="136"/>
      <c r="K9" s="136"/>
      <c r="L9" s="136"/>
      <c r="M9" s="136"/>
      <c r="N9" s="12"/>
      <c r="O9" s="12"/>
      <c r="P9" s="12"/>
      <c r="Q9" s="12"/>
      <c r="R9" s="12"/>
      <c r="S9" s="12"/>
      <c r="T9" s="12"/>
      <c r="U9" s="12"/>
      <c r="V9" s="12"/>
      <c r="W9" s="12"/>
      <c r="X9" s="12"/>
      <c r="Y9" s="12"/>
      <c r="Z9" s="12"/>
      <c r="AA9" s="12"/>
      <c r="AB9" s="12"/>
      <c r="AC9" s="12"/>
      <c r="AD9" s="12"/>
      <c r="AE9" s="12"/>
      <c r="AF9" s="12"/>
      <c r="AG9" s="12"/>
    </row>
    <row r="10" spans="1:33"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x14ac:dyDescent="0.35">
      <c r="A12" s="12"/>
      <c r="B12" s="136"/>
      <c r="C12" s="136"/>
      <c r="D12" s="136"/>
      <c r="E12" s="136"/>
      <c r="F12" s="136"/>
      <c r="G12" s="136"/>
      <c r="H12" s="136"/>
      <c r="I12" s="136"/>
      <c r="J12" s="136"/>
      <c r="K12" s="136"/>
      <c r="L12" s="136"/>
      <c r="M12" s="136"/>
      <c r="N12" s="12"/>
      <c r="O12" s="12"/>
      <c r="P12" s="12"/>
      <c r="Q12" s="12"/>
      <c r="R12" s="12"/>
      <c r="S12" s="12"/>
      <c r="T12" s="12"/>
      <c r="U12" s="12"/>
      <c r="V12" s="12"/>
      <c r="W12" s="12"/>
      <c r="X12" s="12"/>
      <c r="Y12" s="12"/>
      <c r="Z12" s="12"/>
      <c r="AA12" s="12"/>
      <c r="AB12" s="12"/>
      <c r="AC12" s="12"/>
      <c r="AD12" s="12"/>
      <c r="AE12" s="12"/>
      <c r="AF12" s="12"/>
      <c r="AG12" s="12"/>
    </row>
    <row r="13" spans="1:33" x14ac:dyDescent="0.35">
      <c r="A13" s="12"/>
      <c r="B13" s="49"/>
      <c r="C13" s="49"/>
      <c r="D13" s="49"/>
      <c r="E13" s="49"/>
      <c r="F13" s="49"/>
      <c r="G13" s="49"/>
      <c r="H13" s="49"/>
      <c r="I13" s="49"/>
      <c r="J13" s="49"/>
      <c r="K13" s="49"/>
      <c r="L13" s="49"/>
      <c r="M13" s="49"/>
      <c r="N13" s="12"/>
      <c r="O13" s="12"/>
      <c r="P13" s="12"/>
      <c r="Q13" s="12"/>
      <c r="R13" s="12"/>
      <c r="S13" s="12"/>
      <c r="T13" s="12"/>
      <c r="U13" s="12"/>
      <c r="V13" s="12"/>
      <c r="W13" s="12"/>
      <c r="X13" s="12"/>
      <c r="Y13" s="12"/>
      <c r="Z13" s="12"/>
      <c r="AA13" s="12"/>
      <c r="AB13" s="12"/>
      <c r="AC13" s="12"/>
      <c r="AD13" s="12"/>
      <c r="AE13" s="12"/>
      <c r="AF13" s="12"/>
      <c r="AG13" s="12"/>
    </row>
    <row r="14" spans="1:33" ht="232" customHeight="1" x14ac:dyDescent="0.35">
      <c r="A14" s="12"/>
      <c r="B14" s="136"/>
      <c r="C14" s="136"/>
      <c r="D14" s="136"/>
      <c r="E14" s="136"/>
      <c r="F14" s="136"/>
      <c r="G14" s="136"/>
      <c r="H14" s="136"/>
      <c r="I14" s="136"/>
      <c r="J14" s="136"/>
      <c r="K14" s="136"/>
      <c r="L14" s="136"/>
      <c r="M14" s="136"/>
      <c r="N14" s="50"/>
      <c r="O14" s="50"/>
      <c r="P14" s="50"/>
      <c r="Q14" s="50"/>
      <c r="R14" s="50"/>
      <c r="S14" s="51"/>
      <c r="T14" s="12"/>
      <c r="U14" s="12"/>
      <c r="V14" s="12"/>
      <c r="W14" s="12"/>
      <c r="X14" s="12"/>
      <c r="Y14" s="12"/>
      <c r="Z14" s="12"/>
      <c r="AA14" s="12"/>
      <c r="AB14" s="12"/>
      <c r="AC14" s="12"/>
      <c r="AD14" s="12"/>
      <c r="AE14" s="12"/>
      <c r="AF14" s="12"/>
      <c r="AG14" s="12"/>
    </row>
    <row r="15" spans="1:33"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x14ac:dyDescent="0.35">
      <c r="A17" s="12"/>
      <c r="B17" s="136"/>
      <c r="C17" s="136"/>
      <c r="D17" s="136"/>
      <c r="E17" s="136"/>
      <c r="F17" s="136"/>
      <c r="G17" s="136"/>
      <c r="H17" s="136"/>
      <c r="I17" s="136"/>
      <c r="J17" s="136"/>
      <c r="K17" s="136"/>
      <c r="L17" s="136"/>
      <c r="M17" s="136"/>
      <c r="N17" s="12"/>
      <c r="O17" s="12"/>
      <c r="P17" s="12"/>
      <c r="Q17" s="12"/>
      <c r="R17" s="12"/>
      <c r="S17" s="12"/>
      <c r="T17" s="12"/>
      <c r="U17" s="12"/>
      <c r="V17" s="12"/>
      <c r="W17" s="12"/>
      <c r="X17" s="12"/>
      <c r="Y17" s="12"/>
      <c r="Z17" s="12"/>
      <c r="AA17" s="12"/>
      <c r="AB17" s="12"/>
      <c r="AC17" s="12"/>
      <c r="AD17" s="12"/>
      <c r="AE17" s="12"/>
      <c r="AF17" s="12"/>
      <c r="AG17" s="12"/>
    </row>
    <row r="18" spans="1:33"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x14ac:dyDescent="0.35">
      <c r="A20" s="12"/>
      <c r="B20" s="136"/>
      <c r="C20" s="136"/>
      <c r="D20" s="136"/>
      <c r="E20" s="136"/>
      <c r="F20" s="136"/>
      <c r="G20" s="136"/>
      <c r="H20" s="136"/>
      <c r="I20" s="136"/>
      <c r="J20" s="136"/>
      <c r="K20" s="136"/>
      <c r="L20" s="136"/>
      <c r="M20" s="136"/>
      <c r="N20" s="12"/>
      <c r="O20" s="12"/>
      <c r="P20" s="12"/>
      <c r="Q20" s="12"/>
      <c r="R20" s="12"/>
      <c r="S20" s="12"/>
      <c r="T20" s="12"/>
      <c r="U20" s="12"/>
      <c r="V20" s="12"/>
      <c r="W20" s="12"/>
      <c r="X20" s="12"/>
      <c r="Y20" s="12"/>
      <c r="Z20" s="12"/>
      <c r="AA20" s="12"/>
      <c r="AB20" s="12"/>
      <c r="AC20" s="12"/>
      <c r="AD20" s="12"/>
      <c r="AE20" s="12"/>
      <c r="AF20" s="12"/>
      <c r="AG20" s="12"/>
    </row>
    <row r="21" spans="1:33"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x14ac:dyDescent="0.35">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85" zoomScaleNormal="85" workbookViewId="0">
      <selection activeCell="B1" sqref="B1"/>
    </sheetView>
  </sheetViews>
  <sheetFormatPr defaultRowHeight="14.5" x14ac:dyDescent="0.35"/>
  <cols>
    <col min="2" max="2" width="22.6328125" customWidth="1"/>
    <col min="3" max="3" width="50.26953125" customWidth="1"/>
    <col min="4" max="4" width="36.7265625" customWidth="1"/>
  </cols>
  <sheetData>
    <row r="1" spans="1:24" ht="15.5" customHeight="1" x14ac:dyDescent="0.35">
      <c r="A1" s="81"/>
      <c r="B1" s="81" t="s">
        <v>0</v>
      </c>
      <c r="C1" s="12"/>
      <c r="D1" s="12"/>
      <c r="E1" s="12"/>
      <c r="F1" s="12"/>
      <c r="G1" s="12"/>
      <c r="H1" s="12"/>
      <c r="I1" s="12"/>
      <c r="J1" s="12"/>
      <c r="K1" s="12"/>
      <c r="L1" s="12"/>
      <c r="M1" s="12"/>
      <c r="N1" s="12"/>
      <c r="O1" s="12"/>
      <c r="P1" s="12"/>
      <c r="Q1" s="12"/>
      <c r="R1" s="12"/>
      <c r="S1" s="12"/>
      <c r="T1" s="12"/>
      <c r="U1" s="12"/>
      <c r="V1" s="12"/>
      <c r="W1" s="12"/>
      <c r="X1" s="12"/>
    </row>
    <row r="2" spans="1:24" ht="25.5" customHeight="1" x14ac:dyDescent="0.35">
      <c r="A2" s="12"/>
      <c r="B2" s="33" t="s">
        <v>1</v>
      </c>
      <c r="C2" s="49"/>
      <c r="D2" s="78"/>
      <c r="E2" s="12"/>
      <c r="F2" s="12"/>
      <c r="G2" s="12"/>
      <c r="H2" s="12"/>
      <c r="I2" s="12"/>
      <c r="J2" s="12"/>
      <c r="K2" s="12"/>
      <c r="L2" s="12"/>
      <c r="M2" s="12"/>
      <c r="N2" s="12"/>
      <c r="O2" s="12"/>
      <c r="P2" s="12"/>
      <c r="Q2" s="12"/>
      <c r="R2" s="12"/>
      <c r="S2" s="12"/>
      <c r="T2" s="12"/>
      <c r="U2" s="12"/>
      <c r="V2" s="12"/>
      <c r="W2" s="12"/>
      <c r="X2" s="12"/>
    </row>
    <row r="3" spans="1:24" ht="25.5" customHeight="1" x14ac:dyDescent="0.35">
      <c r="A3" s="12"/>
      <c r="B3" s="33" t="s">
        <v>2</v>
      </c>
      <c r="C3" s="49"/>
      <c r="D3" s="78"/>
      <c r="E3" s="12"/>
      <c r="F3" s="12"/>
      <c r="G3" s="12"/>
      <c r="H3" s="12"/>
      <c r="I3" s="12"/>
      <c r="J3" s="12"/>
      <c r="K3" s="12"/>
      <c r="L3" s="12"/>
      <c r="M3" s="12"/>
      <c r="N3" s="12"/>
      <c r="O3" s="12"/>
      <c r="P3" s="12"/>
      <c r="Q3" s="12"/>
      <c r="R3" s="12"/>
      <c r="S3" s="12"/>
      <c r="T3" s="12"/>
      <c r="U3" s="12"/>
      <c r="V3" s="12"/>
      <c r="W3" s="12"/>
      <c r="X3" s="12"/>
    </row>
    <row r="4" spans="1:24" ht="25.5" customHeight="1" x14ac:dyDescent="0.35">
      <c r="A4" s="12"/>
      <c r="B4" s="33" t="s">
        <v>3</v>
      </c>
      <c r="C4" s="49"/>
      <c r="D4" s="78"/>
      <c r="E4" s="12"/>
      <c r="F4" s="12"/>
      <c r="G4" s="12"/>
      <c r="H4" s="12"/>
      <c r="I4" s="12"/>
      <c r="J4" s="12"/>
      <c r="K4" s="12"/>
      <c r="L4" s="12"/>
      <c r="M4" s="12"/>
      <c r="N4" s="12"/>
      <c r="O4" s="12"/>
      <c r="P4" s="12"/>
      <c r="Q4" s="12"/>
      <c r="R4" s="12"/>
      <c r="S4" s="12"/>
      <c r="T4" s="12"/>
      <c r="U4" s="12"/>
      <c r="V4" s="12"/>
      <c r="W4" s="12"/>
      <c r="X4" s="12"/>
    </row>
    <row r="5" spans="1:24" ht="25.5" customHeight="1" x14ac:dyDescent="0.35">
      <c r="A5" s="12"/>
      <c r="B5" s="33" t="s">
        <v>4</v>
      </c>
      <c r="C5" s="49"/>
      <c r="D5" s="78"/>
      <c r="E5" s="12"/>
      <c r="F5" s="12"/>
      <c r="G5" s="12"/>
      <c r="H5" s="12"/>
      <c r="I5" s="12"/>
      <c r="J5" s="12"/>
      <c r="K5" s="12"/>
      <c r="L5" s="12"/>
      <c r="M5" s="12"/>
      <c r="N5" s="12"/>
      <c r="O5" s="12"/>
      <c r="P5" s="12"/>
      <c r="Q5" s="12"/>
      <c r="R5" s="12"/>
      <c r="S5" s="12"/>
      <c r="T5" s="12"/>
      <c r="U5" s="12"/>
      <c r="V5" s="12"/>
      <c r="W5" s="12"/>
      <c r="X5" s="12"/>
    </row>
    <row r="6" spans="1:24" ht="25.5" customHeight="1" x14ac:dyDescent="0.35">
      <c r="A6" s="12"/>
      <c r="B6" s="33" t="s">
        <v>5</v>
      </c>
      <c r="C6" s="49"/>
      <c r="D6" s="78"/>
      <c r="E6" s="12"/>
      <c r="F6" s="12"/>
      <c r="G6" s="12"/>
      <c r="H6" s="12"/>
      <c r="I6" s="12"/>
      <c r="J6" s="12"/>
      <c r="K6" s="12"/>
      <c r="L6" s="12"/>
      <c r="M6" s="12"/>
      <c r="N6" s="12"/>
      <c r="O6" s="12"/>
      <c r="P6" s="12"/>
      <c r="Q6" s="12"/>
      <c r="R6" s="12"/>
      <c r="S6" s="12"/>
      <c r="T6" s="12"/>
      <c r="U6" s="12"/>
      <c r="V6" s="12"/>
      <c r="W6" s="12"/>
      <c r="X6" s="12"/>
    </row>
    <row r="7" spans="1:24" ht="25.5" customHeight="1" x14ac:dyDescent="0.35">
      <c r="A7" s="12"/>
      <c r="B7" s="12" t="s">
        <v>6</v>
      </c>
      <c r="C7" s="49"/>
      <c r="D7" s="78"/>
      <c r="E7" s="12"/>
      <c r="F7" s="12"/>
      <c r="G7" s="12"/>
      <c r="H7" s="12"/>
      <c r="I7" s="12"/>
      <c r="J7" s="12"/>
      <c r="K7" s="12"/>
      <c r="L7" s="12"/>
      <c r="M7" s="12"/>
      <c r="N7" s="12"/>
      <c r="O7" s="12"/>
      <c r="P7" s="12"/>
      <c r="Q7" s="12"/>
      <c r="R7" s="12"/>
      <c r="S7" s="12"/>
      <c r="T7" s="12"/>
      <c r="U7" s="12"/>
      <c r="V7" s="12"/>
      <c r="W7" s="12"/>
      <c r="X7" s="12"/>
    </row>
    <row r="8" spans="1:24" ht="25.5" customHeight="1" x14ac:dyDescent="0.35">
      <c r="A8" s="12"/>
      <c r="B8" s="33" t="s">
        <v>7</v>
      </c>
      <c r="C8" s="49"/>
      <c r="D8" s="78"/>
      <c r="E8" s="12"/>
      <c r="F8" s="12"/>
      <c r="G8" s="12"/>
      <c r="H8" s="12"/>
      <c r="I8" s="12"/>
      <c r="J8" s="12"/>
      <c r="K8" s="12"/>
      <c r="L8" s="12"/>
      <c r="M8" s="12"/>
      <c r="N8" s="12"/>
      <c r="O8" s="12"/>
      <c r="P8" s="12"/>
      <c r="Q8" s="12"/>
      <c r="R8" s="12"/>
      <c r="S8" s="12"/>
      <c r="T8" s="12"/>
      <c r="U8" s="12"/>
      <c r="V8" s="12"/>
      <c r="W8" s="12"/>
      <c r="X8" s="12"/>
    </row>
    <row r="9" spans="1:24" x14ac:dyDescent="0.35">
      <c r="A9" s="12"/>
      <c r="B9" s="33"/>
      <c r="C9" s="49"/>
      <c r="D9" s="78"/>
      <c r="E9" s="12"/>
      <c r="F9" s="12"/>
      <c r="G9" s="12"/>
      <c r="H9" s="12"/>
      <c r="I9" s="12"/>
      <c r="J9" s="12"/>
      <c r="K9" s="12"/>
      <c r="L9" s="12"/>
      <c r="M9" s="12"/>
      <c r="N9" s="12"/>
      <c r="O9" s="12"/>
      <c r="P9" s="12"/>
      <c r="Q9" s="12"/>
      <c r="R9" s="12"/>
      <c r="S9" s="12"/>
      <c r="T9" s="12"/>
      <c r="U9" s="12"/>
      <c r="V9" s="12"/>
      <c r="W9" s="12"/>
      <c r="X9" s="12"/>
    </row>
    <row r="10" spans="1:24" x14ac:dyDescent="0.35">
      <c r="A10" s="12"/>
      <c r="B10" s="33"/>
      <c r="C10" s="49"/>
      <c r="D10" s="78"/>
      <c r="E10" s="12"/>
      <c r="F10" s="12"/>
      <c r="G10" s="12"/>
      <c r="H10" s="12"/>
      <c r="I10" s="12"/>
      <c r="J10" s="12"/>
      <c r="K10" s="12"/>
      <c r="L10" s="12"/>
      <c r="M10" s="12"/>
      <c r="N10" s="12"/>
      <c r="O10" s="12"/>
      <c r="P10" s="12"/>
      <c r="Q10" s="12"/>
      <c r="R10" s="12"/>
      <c r="S10" s="12"/>
      <c r="T10" s="12"/>
      <c r="U10" s="12"/>
      <c r="V10" s="12"/>
      <c r="W10" s="12"/>
      <c r="X10" s="12"/>
    </row>
    <row r="11" spans="1:24" x14ac:dyDescent="0.35">
      <c r="A11" s="12"/>
      <c r="B11" s="33"/>
      <c r="C11" s="49"/>
      <c r="D11" s="78"/>
      <c r="E11" s="12"/>
      <c r="F11" s="12"/>
      <c r="G11" s="12"/>
      <c r="H11" s="12"/>
      <c r="I11" s="12"/>
      <c r="J11" s="12"/>
      <c r="K11" s="12"/>
      <c r="L11" s="12"/>
      <c r="M11" s="12"/>
      <c r="N11" s="12"/>
      <c r="O11" s="12"/>
      <c r="P11" s="12"/>
      <c r="Q11" s="12"/>
      <c r="R11" s="12"/>
      <c r="S11" s="12"/>
      <c r="T11" s="12"/>
      <c r="U11" s="12"/>
      <c r="V11" s="12"/>
      <c r="W11" s="12"/>
      <c r="X11" s="12"/>
    </row>
    <row r="12" spans="1:24" x14ac:dyDescent="0.35">
      <c r="A12" s="12"/>
      <c r="B12" s="33"/>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35">
      <c r="A14" s="12"/>
      <c r="B14" s="33"/>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35">
      <c r="A16" s="12"/>
      <c r="B16" s="33"/>
      <c r="C16" s="12"/>
      <c r="D16" s="12"/>
      <c r="E16" s="12"/>
      <c r="F16" s="12"/>
      <c r="G16" s="12"/>
      <c r="H16" s="12"/>
      <c r="I16" s="12"/>
      <c r="J16" s="12"/>
      <c r="K16" s="12"/>
      <c r="L16" s="12"/>
      <c r="M16" s="12"/>
      <c r="N16" s="12"/>
      <c r="O16" s="12"/>
      <c r="P16" s="12"/>
      <c r="Q16" s="12"/>
      <c r="R16" s="12"/>
      <c r="S16" s="12"/>
      <c r="T16" s="12"/>
      <c r="U16" s="12"/>
      <c r="V16" s="12"/>
      <c r="W16" s="12"/>
      <c r="X16" s="12"/>
    </row>
    <row r="17" spans="1:2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35">
      <c r="A18" s="12"/>
      <c r="B18" s="33"/>
      <c r="C18" s="12"/>
      <c r="D18" s="12"/>
      <c r="E18" s="12"/>
      <c r="F18" s="12"/>
      <c r="G18" s="12"/>
      <c r="H18" s="12"/>
      <c r="I18" s="12"/>
      <c r="J18" s="12"/>
      <c r="K18" s="12"/>
      <c r="L18" s="12"/>
      <c r="M18" s="12"/>
      <c r="N18" s="12"/>
      <c r="O18" s="12"/>
      <c r="P18" s="12"/>
      <c r="Q18" s="12"/>
      <c r="R18" s="12"/>
      <c r="S18" s="12"/>
      <c r="T18" s="12"/>
      <c r="U18" s="12"/>
      <c r="V18" s="12"/>
      <c r="W18" s="12"/>
      <c r="X18" s="12"/>
    </row>
    <row r="19" spans="1:2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35">
      <c r="A20" s="12"/>
      <c r="B20" s="33"/>
      <c r="C20" s="12"/>
      <c r="D20" s="12"/>
      <c r="E20" s="12"/>
      <c r="F20" s="12"/>
      <c r="G20" s="12"/>
      <c r="H20" s="12"/>
      <c r="I20" s="12"/>
      <c r="J20" s="12"/>
      <c r="K20" s="12"/>
      <c r="L20" s="12"/>
      <c r="M20" s="12"/>
      <c r="N20" s="12"/>
      <c r="O20" s="12"/>
      <c r="P20" s="12"/>
      <c r="Q20" s="12"/>
      <c r="R20" s="12"/>
      <c r="S20" s="12"/>
      <c r="T20" s="12"/>
      <c r="U20" s="12"/>
      <c r="V20" s="12"/>
      <c r="W20" s="12"/>
      <c r="X20" s="12"/>
    </row>
    <row r="21" spans="1:2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35">
      <c r="A24" s="12"/>
      <c r="B24" s="79"/>
      <c r="C24" s="49"/>
      <c r="D24" s="12"/>
      <c r="E24" s="12"/>
      <c r="F24" s="12"/>
      <c r="G24" s="12"/>
      <c r="H24" s="12"/>
      <c r="I24" s="12"/>
      <c r="J24" s="12"/>
      <c r="K24" s="12"/>
      <c r="L24" s="12"/>
      <c r="M24" s="12"/>
      <c r="N24" s="12"/>
      <c r="O24" s="12"/>
      <c r="P24" s="12"/>
      <c r="Q24" s="12"/>
      <c r="R24" s="12"/>
      <c r="S24" s="12"/>
      <c r="T24" s="12"/>
      <c r="U24" s="12"/>
      <c r="V24" s="12"/>
      <c r="W24" s="12"/>
      <c r="X24" s="12"/>
    </row>
    <row r="25" spans="1:24" x14ac:dyDescent="0.35">
      <c r="A25" s="12"/>
      <c r="B25" s="79"/>
      <c r="C25" s="49"/>
      <c r="D25" s="12"/>
      <c r="E25" s="12"/>
      <c r="F25" s="12"/>
      <c r="G25" s="12"/>
      <c r="H25" s="12"/>
      <c r="I25" s="12"/>
      <c r="J25" s="12"/>
      <c r="K25" s="12"/>
      <c r="L25" s="12"/>
      <c r="M25" s="12"/>
      <c r="N25" s="12"/>
      <c r="O25" s="12"/>
      <c r="P25" s="12"/>
      <c r="Q25" s="12"/>
      <c r="R25" s="12"/>
      <c r="S25" s="12"/>
      <c r="T25" s="12"/>
      <c r="U25" s="12"/>
      <c r="V25" s="12"/>
      <c r="W25" s="12"/>
      <c r="X25" s="12"/>
    </row>
    <row r="26" spans="1:24" x14ac:dyDescent="0.35">
      <c r="A26" s="12"/>
      <c r="B26" s="79"/>
      <c r="C26" s="49"/>
      <c r="D26" s="12"/>
      <c r="E26" s="12"/>
      <c r="F26" s="12"/>
      <c r="G26" s="12"/>
      <c r="H26" s="12"/>
      <c r="I26" s="12"/>
      <c r="J26" s="12"/>
      <c r="K26" s="12"/>
      <c r="L26" s="12"/>
      <c r="M26" s="12"/>
      <c r="N26" s="12"/>
      <c r="O26" s="12"/>
      <c r="P26" s="12"/>
      <c r="Q26" s="12"/>
      <c r="R26" s="12"/>
      <c r="S26" s="12"/>
      <c r="T26" s="12"/>
      <c r="U26" s="12"/>
      <c r="V26" s="12"/>
      <c r="W26" s="12"/>
      <c r="X26" s="12"/>
    </row>
    <row r="27" spans="1:2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24"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row>
  </sheetData>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7"/>
  <sheetViews>
    <sheetView tabSelected="1" zoomScale="75" zoomScaleNormal="75" workbookViewId="0">
      <pane xSplit="2" ySplit="2" topLeftCell="C9" activePane="bottomRight" state="frozen"/>
      <selection pane="topRight" activeCell="C1" sqref="C1"/>
      <selection pane="bottomLeft" activeCell="A3" sqref="A3"/>
      <selection pane="bottomRight" activeCell="H25" sqref="H25"/>
    </sheetView>
  </sheetViews>
  <sheetFormatPr defaultRowHeight="14.5" x14ac:dyDescent="0.35"/>
  <cols>
    <col min="1" max="1" width="5.08984375" customWidth="1"/>
    <col min="2" max="2" width="63.26953125" customWidth="1"/>
    <col min="3" max="10" width="14.81640625" customWidth="1"/>
  </cols>
  <sheetData>
    <row r="1" spans="1:10" x14ac:dyDescent="0.35">
      <c r="A1" s="4"/>
    </row>
    <row r="2" spans="1:10" ht="52" customHeight="1" x14ac:dyDescent="0.35">
      <c r="B2" s="7"/>
      <c r="C2" s="131" t="s">
        <v>8</v>
      </c>
      <c r="D2" s="131" t="s">
        <v>9</v>
      </c>
      <c r="E2" s="131" t="s">
        <v>10</v>
      </c>
      <c r="F2" s="131" t="s">
        <v>11</v>
      </c>
      <c r="G2" s="131" t="s">
        <v>12</v>
      </c>
      <c r="H2" s="131" t="s">
        <v>918</v>
      </c>
      <c r="I2" s="131" t="s">
        <v>916</v>
      </c>
      <c r="J2" s="131" t="s">
        <v>917</v>
      </c>
    </row>
    <row r="3" spans="1:10" x14ac:dyDescent="0.35">
      <c r="A3" s="4" t="s">
        <v>922</v>
      </c>
      <c r="B3" s="7"/>
      <c r="C3" s="131"/>
      <c r="D3" s="131"/>
      <c r="E3" s="131"/>
      <c r="F3" s="131"/>
      <c r="G3" s="131"/>
      <c r="H3" s="131"/>
      <c r="I3" s="131"/>
      <c r="J3" s="131"/>
    </row>
    <row r="4" spans="1:10" x14ac:dyDescent="0.35">
      <c r="B4" s="15" t="s">
        <v>13</v>
      </c>
      <c r="C4" s="132">
        <f>Summary_Figures!H11</f>
        <v>-2435552.9547930975</v>
      </c>
      <c r="D4" s="132">
        <f>Summary_Figures!H17</f>
        <v>-2720355.0901082372</v>
      </c>
      <c r="E4" s="132">
        <f>Summary_Figures!H8</f>
        <v>817146.12509150151</v>
      </c>
      <c r="F4" s="132">
        <f>Summary_Figures!H14</f>
        <v>-1692773.7393536866</v>
      </c>
      <c r="G4" s="132">
        <f>Summary_Figures!H16</f>
        <v>-1002802.0790819209</v>
      </c>
      <c r="H4" s="132">
        <f>Summary_Figures!H12</f>
        <v>2675514.2996594156</v>
      </c>
      <c r="I4" s="132">
        <f>Summary_Figures!H13</f>
        <v>698552.08114910871</v>
      </c>
      <c r="J4" s="132">
        <f>Summary_Figures!H15</f>
        <v>1716939.3548677955</v>
      </c>
    </row>
    <row r="5" spans="1:10" x14ac:dyDescent="0.35">
      <c r="B5" s="15" t="s">
        <v>921</v>
      </c>
      <c r="C5" s="132">
        <f>C4-$C$4</f>
        <v>0</v>
      </c>
      <c r="D5" s="132">
        <f>D4-$C$4</f>
        <v>-284802.13531513978</v>
      </c>
      <c r="E5" s="132">
        <f>E4-$C$4</f>
        <v>3252699.079884599</v>
      </c>
      <c r="F5" s="132">
        <f>F4-$C$4</f>
        <v>742779.21543941088</v>
      </c>
      <c r="G5" s="132">
        <f>G4-$C$4</f>
        <v>1432750.8757111765</v>
      </c>
      <c r="H5" s="132">
        <f t="shared" ref="H5:J5" si="0">H4-$C$4</f>
        <v>5111067.2544525135</v>
      </c>
      <c r="I5" s="132">
        <f t="shared" si="0"/>
        <v>3134105.0359422062</v>
      </c>
      <c r="J5" s="132">
        <f t="shared" si="0"/>
        <v>4152492.3096608929</v>
      </c>
    </row>
    <row r="6" spans="1:10" x14ac:dyDescent="0.35">
      <c r="B6" s="15"/>
      <c r="C6" s="132"/>
      <c r="D6" s="132"/>
      <c r="E6" s="132"/>
      <c r="F6" s="132"/>
      <c r="G6" s="132"/>
      <c r="H6" s="132"/>
      <c r="I6" s="132"/>
      <c r="J6" s="132"/>
    </row>
    <row r="7" spans="1:10" x14ac:dyDescent="0.35">
      <c r="A7" s="4" t="s">
        <v>923</v>
      </c>
      <c r="B7" s="15"/>
      <c r="C7" s="132"/>
      <c r="D7" s="132"/>
      <c r="E7" s="132"/>
      <c r="F7" s="132"/>
      <c r="G7" s="132"/>
    </row>
    <row r="8" spans="1:10" x14ac:dyDescent="0.35">
      <c r="B8" s="15" t="s">
        <v>942</v>
      </c>
      <c r="C8" s="132">
        <f>SUM(Lease_Avoidance!$B$14:$F$14)</f>
        <v>604500</v>
      </c>
      <c r="D8" s="132">
        <f>0</f>
        <v>0</v>
      </c>
      <c r="E8" s="132">
        <f>0</f>
        <v>0</v>
      </c>
      <c r="F8" s="132">
        <f>SUM(Lease_Avoidance!$B$14:$F$14)</f>
        <v>604500</v>
      </c>
      <c r="G8" s="132">
        <f>0</f>
        <v>0</v>
      </c>
      <c r="H8" s="132">
        <f>0</f>
        <v>0</v>
      </c>
      <c r="I8" s="132">
        <f>0</f>
        <v>0</v>
      </c>
      <c r="J8" s="132">
        <f>0</f>
        <v>0</v>
      </c>
    </row>
    <row r="9" spans="1:10" x14ac:dyDescent="0.35">
      <c r="B9" s="15" t="s">
        <v>943</v>
      </c>
      <c r="C9" s="132">
        <f>SUM(Pre_K!$B$22:$F$22)</f>
        <v>24000</v>
      </c>
      <c r="D9" s="132">
        <f>0</f>
        <v>0</v>
      </c>
      <c r="E9" s="132">
        <f>0</f>
        <v>0</v>
      </c>
      <c r="F9" s="132">
        <f>SUM(Pre_K!$B$22:$F$22)</f>
        <v>24000</v>
      </c>
      <c r="G9" s="132">
        <f>0</f>
        <v>0</v>
      </c>
      <c r="H9" s="132">
        <f>0</f>
        <v>0</v>
      </c>
      <c r="I9" s="132">
        <f>0</f>
        <v>0</v>
      </c>
      <c r="J9" s="132">
        <f>0</f>
        <v>0</v>
      </c>
    </row>
    <row r="10" spans="1:10" x14ac:dyDescent="0.35">
      <c r="B10" s="15"/>
      <c r="C10" s="132"/>
      <c r="D10" s="132"/>
      <c r="E10" s="132"/>
      <c r="F10" s="132"/>
      <c r="G10" s="132"/>
      <c r="H10" s="132"/>
      <c r="I10" s="132"/>
      <c r="J10" s="132"/>
    </row>
    <row r="11" spans="1:10" x14ac:dyDescent="0.35">
      <c r="B11" s="15" t="s">
        <v>948</v>
      </c>
      <c r="C11" s="132">
        <f>C4+C8</f>
        <v>-1831052.9547930975</v>
      </c>
      <c r="D11" s="132">
        <f t="shared" ref="D11:J11" si="1">D4+D8</f>
        <v>-2720355.0901082372</v>
      </c>
      <c r="E11" s="132">
        <f t="shared" si="1"/>
        <v>817146.12509150151</v>
      </c>
      <c r="F11" s="132">
        <f t="shared" si="1"/>
        <v>-1088273.7393536866</v>
      </c>
      <c r="G11" s="132">
        <f t="shared" si="1"/>
        <v>-1002802.0790819209</v>
      </c>
      <c r="H11" s="132">
        <f t="shared" si="1"/>
        <v>2675514.2996594156</v>
      </c>
      <c r="I11" s="132">
        <f t="shared" si="1"/>
        <v>698552.08114910871</v>
      </c>
      <c r="J11" s="132">
        <f t="shared" si="1"/>
        <v>1716939.3548677955</v>
      </c>
    </row>
    <row r="12" spans="1:10" x14ac:dyDescent="0.35">
      <c r="B12" s="15"/>
      <c r="C12" s="132"/>
      <c r="D12" s="132"/>
      <c r="E12" s="132"/>
      <c r="F12" s="132"/>
      <c r="G12" s="132"/>
      <c r="H12" s="132"/>
      <c r="I12" s="132"/>
      <c r="J12" s="132"/>
    </row>
    <row r="13" spans="1:10" x14ac:dyDescent="0.35">
      <c r="A13" s="4" t="s">
        <v>924</v>
      </c>
      <c r="B13" s="15"/>
      <c r="C13" s="132"/>
      <c r="D13" s="132"/>
      <c r="E13" s="132"/>
      <c r="F13" s="132"/>
      <c r="G13" s="132"/>
    </row>
    <row r="14" spans="1:10" x14ac:dyDescent="0.35">
      <c r="B14" s="15" t="s">
        <v>14</v>
      </c>
      <c r="C14" s="134">
        <f>Summary_Figures!I11</f>
        <v>553</v>
      </c>
      <c r="D14" s="134">
        <f>Summary_Figures!I17</f>
        <v>0</v>
      </c>
      <c r="E14" s="134">
        <f>Summary_Figures!I8</f>
        <v>0</v>
      </c>
      <c r="F14" s="134">
        <f>Summary_Figures!I14</f>
        <v>257</v>
      </c>
      <c r="G14" s="134">
        <f>Summary_Figures!I16</f>
        <v>295.66666666666669</v>
      </c>
      <c r="H14" s="134">
        <f>Summary_Figures!I12</f>
        <v>553</v>
      </c>
      <c r="I14" s="134">
        <f>Summary_Figures!I13</f>
        <v>257</v>
      </c>
      <c r="J14" s="134">
        <f>Summary_Figures!I15</f>
        <v>295.66666666666669</v>
      </c>
    </row>
    <row r="15" spans="1:10" x14ac:dyDescent="0.35">
      <c r="B15" s="15" t="s">
        <v>15</v>
      </c>
      <c r="C15" s="135">
        <f>Summary_Figures!J11</f>
        <v>405.79999999999995</v>
      </c>
      <c r="D15" s="135">
        <f>Summary_Figures!J17</f>
        <v>510.06959247999993</v>
      </c>
      <c r="E15" s="135">
        <f>Summary_Figures!J8</f>
        <v>703</v>
      </c>
      <c r="F15" s="135">
        <f>Summary_Figures!J14</f>
        <v>500.2</v>
      </c>
      <c r="G15" s="135">
        <f>Summary_Figures!J16</f>
        <v>558.6</v>
      </c>
      <c r="H15" s="135">
        <f>Summary_Figures!J12</f>
        <v>405.79999999999995</v>
      </c>
      <c r="I15" s="135">
        <f>Summary_Figures!J13</f>
        <v>500.2</v>
      </c>
      <c r="J15" s="135">
        <f>Summary_Figures!J15</f>
        <v>558.6</v>
      </c>
    </row>
    <row r="16" spans="1:10" x14ac:dyDescent="0.35">
      <c r="B16" s="15" t="s">
        <v>944</v>
      </c>
      <c r="C16" s="132">
        <f>Summary_Figures!K11</f>
        <v>-587.13621514395879</v>
      </c>
      <c r="D16" s="132">
        <f>Summary_Figures!K17</f>
        <v>-1237.4657795092082</v>
      </c>
      <c r="E16" s="132">
        <f>Summary_Figures!K8</f>
        <v>485.56043266153802</v>
      </c>
      <c r="F16" s="132">
        <f>Summary_Figures!K14</f>
        <v>-372.3510515853697</v>
      </c>
      <c r="G16" s="132">
        <f>Summary_Figures!K16</f>
        <v>11.724788283656133</v>
      </c>
      <c r="H16" s="132">
        <f>Summary_Figures!K12</f>
        <v>2008.4042806368843</v>
      </c>
      <c r="I16" s="132">
        <f>Summary_Figures!K13</f>
        <v>606.24657131585536</v>
      </c>
      <c r="J16" s="132">
        <f>Summary_Figures!K15</f>
        <v>1020.9904564051604</v>
      </c>
    </row>
    <row r="17" spans="1:10" x14ac:dyDescent="0.35">
      <c r="B17" s="15"/>
      <c r="C17" s="132"/>
      <c r="D17" s="132"/>
      <c r="E17" s="132"/>
      <c r="F17" s="132"/>
      <c r="G17" s="132"/>
      <c r="H17" s="132"/>
      <c r="I17" s="132"/>
      <c r="J17" s="132"/>
    </row>
    <row r="18" spans="1:10" x14ac:dyDescent="0.35">
      <c r="A18" s="4" t="s">
        <v>925</v>
      </c>
      <c r="B18" s="15"/>
      <c r="C18" s="132"/>
      <c r="D18" s="132"/>
      <c r="E18" s="132"/>
      <c r="F18" s="132"/>
      <c r="G18" s="132"/>
    </row>
    <row r="19" spans="1:10" x14ac:dyDescent="0.35">
      <c r="B19" s="15" t="s">
        <v>941</v>
      </c>
      <c r="C19" s="132">
        <f>Capital_Summary!H34*-1</f>
        <v>-2714479.9999999995</v>
      </c>
      <c r="D19" s="132">
        <f>Capital_Summary!H64*-1</f>
        <v>0</v>
      </c>
      <c r="E19" s="132">
        <f>Capital_Summary!H19*-1</f>
        <v>-1800000</v>
      </c>
      <c r="F19" s="132">
        <f>Capital_Summary!H49*-1</f>
        <v>-1800000</v>
      </c>
      <c r="G19" s="132">
        <f>Capital_Summary!H59*-1</f>
        <v>-1800000</v>
      </c>
      <c r="H19" s="132">
        <f>Capital_Summary!H39*-1</f>
        <v>-2314479.9999999995</v>
      </c>
      <c r="I19" s="132">
        <f>Capital_Summary!H44*-1</f>
        <v>-1600000</v>
      </c>
      <c r="J19" s="132">
        <f>Capital_Summary!H54*-1</f>
        <v>-1600000</v>
      </c>
    </row>
    <row r="20" spans="1:10" x14ac:dyDescent="0.35">
      <c r="B20" s="15"/>
      <c r="C20" s="132"/>
      <c r="D20" s="132"/>
      <c r="E20" s="132"/>
      <c r="F20" s="132"/>
      <c r="G20" s="132"/>
      <c r="H20" s="132"/>
      <c r="I20" s="132"/>
      <c r="J20" s="132"/>
    </row>
    <row r="21" spans="1:10" x14ac:dyDescent="0.35">
      <c r="A21" s="4" t="s">
        <v>926</v>
      </c>
    </row>
    <row r="22" spans="1:10" x14ac:dyDescent="0.35">
      <c r="B22" s="15" t="s">
        <v>927</v>
      </c>
      <c r="C22" s="159" t="s">
        <v>939</v>
      </c>
      <c r="D22" s="159" t="s">
        <v>781</v>
      </c>
      <c r="E22" s="159" t="s">
        <v>777</v>
      </c>
      <c r="F22" s="159" t="s">
        <v>920</v>
      </c>
      <c r="G22" s="159" t="s">
        <v>920</v>
      </c>
      <c r="H22" s="159" t="s">
        <v>920</v>
      </c>
      <c r="I22" s="159" t="s">
        <v>920</v>
      </c>
      <c r="J22" s="159" t="s">
        <v>920</v>
      </c>
    </row>
    <row r="23" spans="1:10" x14ac:dyDescent="0.35">
      <c r="B23" s="15" t="s">
        <v>946</v>
      </c>
      <c r="C23" s="159" t="s">
        <v>777</v>
      </c>
      <c r="D23" s="159" t="s">
        <v>920</v>
      </c>
      <c r="E23" s="159" t="s">
        <v>940</v>
      </c>
      <c r="F23" s="159" t="s">
        <v>920</v>
      </c>
      <c r="G23" s="159" t="s">
        <v>920</v>
      </c>
      <c r="H23" s="159" t="s">
        <v>777</v>
      </c>
      <c r="I23" s="159" t="s">
        <v>920</v>
      </c>
      <c r="J23" s="159" t="s">
        <v>920</v>
      </c>
    </row>
    <row r="24" spans="1:10" x14ac:dyDescent="0.35">
      <c r="B24" s="15" t="s">
        <v>929</v>
      </c>
      <c r="C24" s="159" t="s">
        <v>920</v>
      </c>
      <c r="D24" s="159" t="s">
        <v>781</v>
      </c>
      <c r="E24" s="159" t="s">
        <v>777</v>
      </c>
      <c r="F24" s="159" t="s">
        <v>777</v>
      </c>
      <c r="G24" s="159" t="s">
        <v>777</v>
      </c>
      <c r="H24" s="159" t="s">
        <v>920</v>
      </c>
      <c r="I24" s="159" t="s">
        <v>777</v>
      </c>
      <c r="J24" s="159" t="s">
        <v>777</v>
      </c>
    </row>
    <row r="25" spans="1:10" x14ac:dyDescent="0.35">
      <c r="B25" s="15" t="s">
        <v>771</v>
      </c>
      <c r="C25" s="159" t="s">
        <v>940</v>
      </c>
      <c r="D25" s="159" t="s">
        <v>777</v>
      </c>
      <c r="E25" s="159" t="s">
        <v>920</v>
      </c>
      <c r="F25" s="159" t="s">
        <v>940</v>
      </c>
      <c r="G25" s="159" t="s">
        <v>940</v>
      </c>
      <c r="H25" s="159" t="s">
        <v>781</v>
      </c>
      <c r="I25" s="159" t="s">
        <v>940</v>
      </c>
      <c r="J25" s="159" t="s">
        <v>940</v>
      </c>
    </row>
    <row r="27" spans="1:10" ht="75" customHeight="1" x14ac:dyDescent="0.35">
      <c r="C27" s="161" t="s">
        <v>933</v>
      </c>
      <c r="D27" s="3"/>
      <c r="E27" s="161" t="s">
        <v>934</v>
      </c>
      <c r="F27" s="161" t="s">
        <v>935</v>
      </c>
      <c r="G27" s="3"/>
      <c r="H27" s="3"/>
      <c r="I27" s="3"/>
      <c r="J27" s="3"/>
    </row>
    <row r="29" spans="1:10" x14ac:dyDescent="0.35">
      <c r="B29" s="158" t="s">
        <v>947</v>
      </c>
    </row>
    <row r="30" spans="1:10" x14ac:dyDescent="0.35">
      <c r="B30" s="158" t="s">
        <v>919</v>
      </c>
    </row>
    <row r="31" spans="1:10" x14ac:dyDescent="0.35">
      <c r="B31" s="158" t="s">
        <v>945</v>
      </c>
    </row>
    <row r="32" spans="1:10" x14ac:dyDescent="0.35">
      <c r="B32" t="s">
        <v>931</v>
      </c>
    </row>
    <row r="33" spans="1:7" x14ac:dyDescent="0.35">
      <c r="B33" t="s">
        <v>932</v>
      </c>
    </row>
    <row r="35" spans="1:7" x14ac:dyDescent="0.35">
      <c r="B35" s="7" t="s">
        <v>666</v>
      </c>
      <c r="C35" t="s">
        <v>930</v>
      </c>
      <c r="D35" s="133"/>
      <c r="E35" s="133"/>
      <c r="F35" s="133"/>
      <c r="G35" s="133"/>
    </row>
    <row r="36" spans="1:7" x14ac:dyDescent="0.35">
      <c r="B36" s="7"/>
      <c r="D36" s="133"/>
      <c r="E36" s="133"/>
      <c r="F36" s="133"/>
      <c r="G36" s="133"/>
    </row>
    <row r="37" spans="1:7" x14ac:dyDescent="0.35">
      <c r="B37" s="7"/>
      <c r="C37" s="4" t="s">
        <v>927</v>
      </c>
      <c r="D37" s="133"/>
      <c r="E37" s="133"/>
      <c r="F37" s="133"/>
      <c r="G37" s="133"/>
    </row>
    <row r="38" spans="1:7" x14ac:dyDescent="0.35">
      <c r="B38" s="7"/>
      <c r="C38" s="160" t="s">
        <v>936</v>
      </c>
      <c r="D38" s="133"/>
      <c r="E38" s="133"/>
      <c r="F38" s="133"/>
      <c r="G38" s="133"/>
    </row>
    <row r="39" spans="1:7" x14ac:dyDescent="0.35">
      <c r="B39" s="7"/>
      <c r="D39" s="133"/>
      <c r="E39" s="133"/>
      <c r="F39" s="133"/>
      <c r="G39" s="133"/>
    </row>
    <row r="40" spans="1:7" x14ac:dyDescent="0.35">
      <c r="B40" s="7"/>
      <c r="C40" s="4" t="s">
        <v>928</v>
      </c>
      <c r="D40" s="133"/>
      <c r="E40" s="133"/>
      <c r="F40" s="133"/>
      <c r="G40" s="133"/>
    </row>
    <row r="41" spans="1:7" x14ac:dyDescent="0.35">
      <c r="B41" s="7"/>
      <c r="C41" s="160" t="s">
        <v>937</v>
      </c>
      <c r="D41" s="133"/>
      <c r="E41" s="133"/>
      <c r="F41" s="133"/>
      <c r="G41" s="133"/>
    </row>
    <row r="42" spans="1:7" x14ac:dyDescent="0.35">
      <c r="B42" s="7"/>
      <c r="D42" s="133"/>
      <c r="E42" s="133"/>
      <c r="F42" s="133"/>
      <c r="G42" s="133"/>
    </row>
    <row r="43" spans="1:7" x14ac:dyDescent="0.35">
      <c r="B43" s="7"/>
      <c r="C43" s="4" t="s">
        <v>929</v>
      </c>
      <c r="D43" s="133"/>
      <c r="E43" s="133"/>
      <c r="F43" s="133"/>
      <c r="G43" s="133"/>
    </row>
    <row r="44" spans="1:7" x14ac:dyDescent="0.35">
      <c r="B44" s="15"/>
      <c r="C44" s="160" t="s">
        <v>938</v>
      </c>
      <c r="D44" s="133"/>
      <c r="E44" s="133"/>
      <c r="F44" s="133"/>
      <c r="G44" s="133"/>
    </row>
    <row r="45" spans="1:7" x14ac:dyDescent="0.35">
      <c r="B45" s="15"/>
      <c r="C45" s="133"/>
      <c r="D45" s="133"/>
      <c r="E45" s="133"/>
      <c r="F45" s="133"/>
      <c r="G45" s="133"/>
    </row>
    <row r="46" spans="1:7" x14ac:dyDescent="0.35">
      <c r="B46" s="15"/>
      <c r="C46" s="133"/>
      <c r="D46" s="133"/>
      <c r="E46" s="133"/>
      <c r="F46" s="133"/>
      <c r="G46" s="133"/>
    </row>
    <row r="47" spans="1:7" x14ac:dyDescent="0.35">
      <c r="B47" s="15"/>
      <c r="C47" s="133"/>
      <c r="D47" s="133"/>
      <c r="E47" s="133"/>
      <c r="F47" s="133"/>
      <c r="G47" s="133"/>
    </row>
    <row r="48" spans="1:7" x14ac:dyDescent="0.35">
      <c r="A48" s="4"/>
      <c r="B48" s="7"/>
      <c r="C48" s="7"/>
      <c r="D48" s="7"/>
      <c r="E48" s="7"/>
      <c r="F48" s="7"/>
      <c r="G48" s="7"/>
    </row>
    <row r="49" spans="1:10" ht="39" customHeight="1" x14ac:dyDescent="0.35">
      <c r="B49" s="7"/>
      <c r="C49" s="131"/>
      <c r="D49" s="131"/>
      <c r="E49" s="131"/>
      <c r="F49" s="131"/>
      <c r="G49" s="131"/>
    </row>
    <row r="50" spans="1:10" x14ac:dyDescent="0.35">
      <c r="B50" s="15"/>
      <c r="C50" s="132"/>
      <c r="D50" s="132"/>
      <c r="E50" s="132"/>
      <c r="F50" s="132"/>
      <c r="G50" s="132"/>
    </row>
    <row r="51" spans="1:10" x14ac:dyDescent="0.35">
      <c r="B51" s="15"/>
      <c r="C51" s="132"/>
      <c r="D51" s="132"/>
      <c r="E51" s="132"/>
      <c r="F51" s="132"/>
      <c r="G51" s="132"/>
    </row>
    <row r="52" spans="1:10" x14ac:dyDescent="0.35">
      <c r="B52" s="15"/>
      <c r="C52" s="134"/>
      <c r="D52" s="134"/>
      <c r="E52" s="134"/>
      <c r="F52" s="134"/>
      <c r="G52" s="134"/>
    </row>
    <row r="53" spans="1:10" x14ac:dyDescent="0.35">
      <c r="A53" s="4" t="s">
        <v>926</v>
      </c>
    </row>
    <row r="54" spans="1:10" x14ac:dyDescent="0.35">
      <c r="B54" s="15" t="s">
        <v>927</v>
      </c>
      <c r="C54" s="159" t="s">
        <v>939</v>
      </c>
      <c r="D54" s="159" t="s">
        <v>781</v>
      </c>
      <c r="E54" s="159" t="s">
        <v>777</v>
      </c>
      <c r="F54" s="159" t="s">
        <v>920</v>
      </c>
      <c r="G54" s="159" t="s">
        <v>920</v>
      </c>
      <c r="H54" s="159" t="s">
        <v>939</v>
      </c>
      <c r="I54" s="159" t="s">
        <v>920</v>
      </c>
      <c r="J54" s="159" t="s">
        <v>920</v>
      </c>
    </row>
    <row r="55" spans="1:10" x14ac:dyDescent="0.35">
      <c r="B55" s="15" t="s">
        <v>946</v>
      </c>
      <c r="C55" s="159" t="s">
        <v>777</v>
      </c>
      <c r="D55" s="159" t="s">
        <v>920</v>
      </c>
      <c r="E55" s="159" t="s">
        <v>940</v>
      </c>
      <c r="F55" s="159" t="s">
        <v>920</v>
      </c>
      <c r="G55" s="159" t="s">
        <v>920</v>
      </c>
      <c r="H55" s="159" t="s">
        <v>777</v>
      </c>
      <c r="I55" s="159" t="s">
        <v>920</v>
      </c>
      <c r="J55" s="159" t="s">
        <v>920</v>
      </c>
    </row>
    <row r="56" spans="1:10" x14ac:dyDescent="0.35">
      <c r="B56" s="15" t="s">
        <v>929</v>
      </c>
      <c r="C56" s="159" t="s">
        <v>781</v>
      </c>
      <c r="D56" s="159" t="s">
        <v>781</v>
      </c>
      <c r="E56" s="159" t="s">
        <v>777</v>
      </c>
      <c r="F56" s="159" t="s">
        <v>777</v>
      </c>
      <c r="G56" s="159" t="s">
        <v>777</v>
      </c>
      <c r="H56" s="159" t="s">
        <v>940</v>
      </c>
      <c r="I56" s="159" t="s">
        <v>777</v>
      </c>
      <c r="J56" s="159" t="s">
        <v>777</v>
      </c>
    </row>
    <row r="57" spans="1:10" x14ac:dyDescent="0.35">
      <c r="B57" s="15" t="s">
        <v>771</v>
      </c>
      <c r="C57" s="159" t="s">
        <v>940</v>
      </c>
      <c r="D57" s="159" t="s">
        <v>777</v>
      </c>
      <c r="E57" s="159" t="s">
        <v>920</v>
      </c>
      <c r="F57" s="159" t="s">
        <v>940</v>
      </c>
      <c r="G57" s="159" t="s">
        <v>940</v>
      </c>
      <c r="H57" s="159" t="s">
        <v>781</v>
      </c>
      <c r="I57" s="159" t="s">
        <v>940</v>
      </c>
      <c r="J57" s="159" t="s">
        <v>940</v>
      </c>
    </row>
  </sheetData>
  <conditionalFormatting sqref="C4:J4">
    <cfRule type="iconSet" priority="66">
      <iconSet iconSet="3Signs">
        <cfvo type="percent" val="0"/>
        <cfvo type="percent" val="33"/>
        <cfvo type="percent" val="67"/>
      </iconSet>
    </cfRule>
  </conditionalFormatting>
  <conditionalFormatting sqref="C19:J20">
    <cfRule type="iconSet" priority="65">
      <iconSet iconSet="3Signs">
        <cfvo type="percent" val="0"/>
        <cfvo type="percent" val="33"/>
        <cfvo type="percent" val="67"/>
      </iconSet>
    </cfRule>
  </conditionalFormatting>
  <conditionalFormatting sqref="C15:J15">
    <cfRule type="iconSet" priority="64">
      <iconSet iconSet="3Signs">
        <cfvo type="percent" val="0"/>
        <cfvo type="percent" val="33"/>
        <cfvo type="percent" val="67"/>
      </iconSet>
    </cfRule>
  </conditionalFormatting>
  <conditionalFormatting sqref="C50:G50">
    <cfRule type="iconSet" priority="61">
      <iconSet iconSet="3Signs">
        <cfvo type="percent" val="0"/>
        <cfvo type="percent" val="33"/>
        <cfvo type="percent" val="67"/>
      </iconSet>
    </cfRule>
  </conditionalFormatting>
  <conditionalFormatting sqref="C51:G51">
    <cfRule type="iconSet" priority="60">
      <iconSet iconSet="3Signs">
        <cfvo type="percent" val="0"/>
        <cfvo type="percent" val="33"/>
        <cfvo type="percent" val="67"/>
      </iconSet>
    </cfRule>
  </conditionalFormatting>
  <conditionalFormatting sqref="C5:J6">
    <cfRule type="iconSet" priority="53">
      <iconSet iconSet="3Signs">
        <cfvo type="percent" val="0"/>
        <cfvo type="percent" val="33"/>
        <cfvo type="percent" val="67"/>
      </iconSet>
    </cfRule>
  </conditionalFormatting>
  <conditionalFormatting sqref="C16:J17">
    <cfRule type="iconSet" priority="52">
      <iconSet iconSet="3Signs">
        <cfvo type="percent" val="0"/>
        <cfvo type="percent" val="33"/>
        <cfvo type="percent" val="67"/>
      </iconSet>
    </cfRule>
  </conditionalFormatting>
  <conditionalFormatting sqref="C22:J22">
    <cfRule type="cellIs" dxfId="39" priority="45" operator="equal">
      <formula>"High"</formula>
    </cfRule>
    <cfRule type="cellIs" dxfId="38" priority="46" operator="equal">
      <formula>"Low-Medium"</formula>
    </cfRule>
    <cfRule type="cellIs" dxfId="37" priority="47" operator="equal">
      <formula>"Medium"</formula>
    </cfRule>
    <cfRule type="cellIs" dxfId="36" priority="48" operator="equal">
      <formula>"Low"</formula>
    </cfRule>
    <cfRule type="containsText" dxfId="35" priority="49" operator="containsText" text="Medium-High">
      <formula>NOT(ISERROR(SEARCH("Medium-High",C22)))</formula>
    </cfRule>
  </conditionalFormatting>
  <conditionalFormatting sqref="C23:J23">
    <cfRule type="cellIs" dxfId="34" priority="35" operator="equal">
      <formula>"High"</formula>
    </cfRule>
    <cfRule type="cellIs" dxfId="33" priority="36" operator="equal">
      <formula>"Low-Medium"</formula>
    </cfRule>
    <cfRule type="cellIs" dxfId="32" priority="37" operator="equal">
      <formula>"Medium"</formula>
    </cfRule>
    <cfRule type="cellIs" dxfId="31" priority="38" operator="equal">
      <formula>"Low"</formula>
    </cfRule>
    <cfRule type="containsText" dxfId="30" priority="39" operator="containsText" text="Medium-High">
      <formula>NOT(ISERROR(SEARCH("Medium-High",C23)))</formula>
    </cfRule>
  </conditionalFormatting>
  <conditionalFormatting sqref="C24:J24">
    <cfRule type="cellIs" dxfId="29" priority="30" operator="equal">
      <formula>"Low"</formula>
    </cfRule>
    <cfRule type="cellIs" dxfId="28" priority="31" operator="equal">
      <formula>"Medium-High"</formula>
    </cfRule>
    <cfRule type="cellIs" dxfId="27" priority="32" operator="equal">
      <formula>"Medium"</formula>
    </cfRule>
    <cfRule type="cellIs" dxfId="26" priority="33" operator="equal">
      <formula>"High"</formula>
    </cfRule>
    <cfRule type="containsText" dxfId="25" priority="34" operator="containsText" text="Low-Medium">
      <formula>NOT(ISERROR(SEARCH("Low-Medium",C24)))</formula>
    </cfRule>
  </conditionalFormatting>
  <conditionalFormatting sqref="C25:J25">
    <cfRule type="cellIs" dxfId="24" priority="25" operator="equal">
      <formula>"Low"</formula>
    </cfRule>
    <cfRule type="cellIs" dxfId="23" priority="26" operator="equal">
      <formula>"Medium-High"</formula>
    </cfRule>
    <cfRule type="cellIs" dxfId="22" priority="27" operator="equal">
      <formula>"Medium"</formula>
    </cfRule>
    <cfRule type="cellIs" dxfId="21" priority="28" operator="equal">
      <formula>"High"</formula>
    </cfRule>
    <cfRule type="containsText" dxfId="20" priority="29" operator="containsText" text="Low-Medium">
      <formula>NOT(ISERROR(SEARCH("Low-Medium",C25)))</formula>
    </cfRule>
  </conditionalFormatting>
  <conditionalFormatting sqref="C11:J12">
    <cfRule type="iconSet" priority="21">
      <iconSet iconSet="3Signs">
        <cfvo type="percent" val="0"/>
        <cfvo type="percent" val="33"/>
        <cfvo type="percent" val="67"/>
      </iconSet>
    </cfRule>
  </conditionalFormatting>
  <conditionalFormatting sqref="C54:J54">
    <cfRule type="cellIs" dxfId="19" priority="16" operator="equal">
      <formula>"High"</formula>
    </cfRule>
    <cfRule type="cellIs" dxfId="18" priority="17" operator="equal">
      <formula>"Low-Medium"</formula>
    </cfRule>
    <cfRule type="cellIs" dxfId="17" priority="18" operator="equal">
      <formula>"Medium"</formula>
    </cfRule>
    <cfRule type="cellIs" dxfId="16" priority="19" operator="equal">
      <formula>"Low"</formula>
    </cfRule>
    <cfRule type="containsText" dxfId="15" priority="20" operator="containsText" text="Medium-High">
      <formula>NOT(ISERROR(SEARCH("Medium-High",C54)))</formula>
    </cfRule>
  </conditionalFormatting>
  <conditionalFormatting sqref="C55:J55">
    <cfRule type="cellIs" dxfId="14" priority="11" operator="equal">
      <formula>"High"</formula>
    </cfRule>
    <cfRule type="cellIs" dxfId="13" priority="12" operator="equal">
      <formula>"Low-Medium"</formula>
    </cfRule>
    <cfRule type="cellIs" dxfId="12" priority="13" operator="equal">
      <formula>"Medium"</formula>
    </cfRule>
    <cfRule type="cellIs" dxfId="11" priority="14" operator="equal">
      <formula>"Low"</formula>
    </cfRule>
    <cfRule type="containsText" dxfId="10" priority="15" operator="containsText" text="Medium-High">
      <formula>NOT(ISERROR(SEARCH("Medium-High",C55)))</formula>
    </cfRule>
  </conditionalFormatting>
  <conditionalFormatting sqref="C56:J56">
    <cfRule type="cellIs" dxfId="9" priority="6" operator="equal">
      <formula>"Low"</formula>
    </cfRule>
    <cfRule type="cellIs" dxfId="8" priority="7" operator="equal">
      <formula>"Medium-High"</formula>
    </cfRule>
    <cfRule type="cellIs" dxfId="7" priority="8" operator="equal">
      <formula>"Medium"</formula>
    </cfRule>
    <cfRule type="cellIs" dxfId="6" priority="9" operator="equal">
      <formula>"High"</formula>
    </cfRule>
    <cfRule type="containsText" dxfId="5" priority="10" operator="containsText" text="Low-Medium">
      <formula>NOT(ISERROR(SEARCH("Low-Medium",C56)))</formula>
    </cfRule>
  </conditionalFormatting>
  <conditionalFormatting sqref="C57:J57">
    <cfRule type="cellIs" dxfId="4" priority="1" operator="equal">
      <formula>"Low"</formula>
    </cfRule>
    <cfRule type="cellIs" dxfId="3" priority="2" operator="equal">
      <formula>"Medium-High"</formula>
    </cfRule>
    <cfRule type="cellIs" dxfId="2" priority="3" operator="equal">
      <formula>"Medium"</formula>
    </cfRule>
    <cfRule type="cellIs" dxfId="1" priority="4" operator="equal">
      <formula>"High"</formula>
    </cfRule>
    <cfRule type="containsText" dxfId="0" priority="5" operator="containsText" text="Low-Medium">
      <formula>NOT(ISERROR(SEARCH("Low-Medium",C57)))</formula>
    </cfRule>
  </conditionalFormatting>
  <pageMargins left="0.7" right="0.7" top="0.75" bottom="0.75" header="0.3" footer="0.3"/>
  <pageSetup paperSize="0" orientation="portrait" horizontalDpi="0" verticalDpi="0" copies="0"/>
  <drawing r:id="rId1"/>
  <extLst>
    <ext xmlns:x14="http://schemas.microsoft.com/office/spreadsheetml/2009/9/main" uri="{78C0D931-6437-407d-A8EE-F0AAD7539E65}">
      <x14:conditionalFormattings>
        <x14:conditionalFormatting xmlns:xm="http://schemas.microsoft.com/office/excel/2006/main">
          <x14:cfRule type="iconSet" priority="54" id="{22A80E19-21EE-479A-B1CD-FDB84928EF10}">
            <x14:iconSet custom="1">
              <x14:cfvo type="percent">
                <xm:f>0</xm:f>
              </x14:cfvo>
              <x14:cfvo type="percent">
                <xm:f>33</xm:f>
              </x14:cfvo>
              <x14:cfvo type="percent">
                <xm:f>67</xm:f>
              </x14:cfvo>
              <x14:cfIcon iconSet="3TrafficLights1" iconId="2"/>
              <x14:cfIcon iconSet="3Signs" iconId="1"/>
              <x14:cfIcon iconSet="3Signs" iconId="0"/>
            </x14:iconSet>
          </x14:cfRule>
          <xm:sqref>C14:J14</xm:sqref>
        </x14:conditionalFormatting>
        <x14:conditionalFormatting xmlns:xm="http://schemas.microsoft.com/office/excel/2006/main">
          <x14:cfRule type="iconSet" priority="51" id="{34FF24AF-5A91-4C9A-8F6E-52129B9D3554}">
            <x14:iconSet iconSet="3Signs" custom="1">
              <x14:cfvo type="percent">
                <xm:f>0</xm:f>
              </x14:cfvo>
              <x14:cfvo type="percent">
                <xm:f>33</xm:f>
              </x14:cfvo>
              <x14:cfvo type="percent">
                <xm:f>67</xm:f>
              </x14:cfvo>
              <x14:cfIcon iconSet="3Signs" iconId="1"/>
              <x14:cfIcon iconSet="3Signs" iconId="1"/>
              <x14:cfIcon iconSet="3TrafficLights1" iconId="2"/>
            </x14:iconSet>
          </x14:cfRule>
          <xm:sqref>C8:J8</xm:sqref>
        </x14:conditionalFormatting>
        <x14:conditionalFormatting xmlns:xm="http://schemas.microsoft.com/office/excel/2006/main">
          <x14:cfRule type="iconSet" priority="22" id="{BA36A19D-D057-4A85-B883-C7F261085539}">
            <x14:iconSet iconSet="3Signs" custom="1">
              <x14:cfvo type="percent">
                <xm:f>0</xm:f>
              </x14:cfvo>
              <x14:cfvo type="percent">
                <xm:f>33</xm:f>
              </x14:cfvo>
              <x14:cfvo type="percent">
                <xm:f>67</xm:f>
              </x14:cfvo>
              <x14:cfIcon iconSet="3Signs" iconId="1"/>
              <x14:cfIcon iconSet="3Signs" iconId="1"/>
              <x14:cfIcon iconSet="3TrafficLights1" iconId="2"/>
            </x14:iconSet>
          </x14:cfRule>
          <xm:sqref>C9:J10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P133"/>
  <sheetViews>
    <sheetView zoomScale="70" zoomScaleNormal="70" workbookViewId="0">
      <pane ySplit="5" topLeftCell="A14" activePane="bottomLeft" state="frozen"/>
      <selection activeCell="B1" sqref="B1"/>
      <selection pane="bottomLeft" activeCell="C2" sqref="C2"/>
    </sheetView>
  </sheetViews>
  <sheetFormatPr defaultRowHeight="14.5" outlineLevelRow="1" x14ac:dyDescent="0.35"/>
  <cols>
    <col min="1" max="1" width="4.26953125" style="87" customWidth="1"/>
    <col min="2" max="2" width="49.453125" style="87" customWidth="1"/>
    <col min="3" max="7" width="18.6328125" style="87" customWidth="1"/>
    <col min="10" max="11" width="18.6328125" style="87" customWidth="1"/>
    <col min="12" max="12" width="28.81640625" customWidth="1"/>
    <col min="14" max="14" width="8.7265625" style="87" customWidth="1"/>
    <col min="15" max="15" width="26.81640625" style="87" customWidth="1"/>
    <col min="16" max="21" width="14.6328125" style="87" customWidth="1"/>
    <col min="22" max="26" width="8.7265625" style="87" customWidth="1"/>
    <col min="27" max="16384" width="8.7265625" style="87"/>
  </cols>
  <sheetData>
    <row r="1" spans="2:16" ht="15" customHeight="1" thickBot="1" x14ac:dyDescent="0.4">
      <c r="B1" s="99" t="s">
        <v>17</v>
      </c>
      <c r="C1" s="127" t="s">
        <v>18</v>
      </c>
    </row>
    <row r="2" spans="2:16" ht="15" customHeight="1" thickBot="1" x14ac:dyDescent="0.4">
      <c r="B2" s="117" t="s">
        <v>19</v>
      </c>
      <c r="C2" s="118">
        <v>2026</v>
      </c>
    </row>
    <row r="3" spans="2:16" x14ac:dyDescent="0.35">
      <c r="L3" t="s">
        <v>20</v>
      </c>
      <c r="P3" t="s">
        <v>21</v>
      </c>
    </row>
    <row r="4" spans="2:16" x14ac:dyDescent="0.35">
      <c r="B4" s="99" t="str">
        <f>"FY"&amp;IF(C2=2026, "26", IF(C2=2030, "30", "Average 2026-2030"))&amp;" simulated P&amp;L and capital spend by scenario"</f>
        <v>FY26 simulated P&amp;L and capital spend by scenario</v>
      </c>
      <c r="C4" s="116" t="s">
        <v>22</v>
      </c>
      <c r="D4" s="116" t="s">
        <v>23</v>
      </c>
      <c r="E4" s="116" t="s">
        <v>24</v>
      </c>
      <c r="F4" s="116" t="s">
        <v>25</v>
      </c>
      <c r="G4" s="116" t="s">
        <v>26</v>
      </c>
      <c r="L4" t="s">
        <v>27</v>
      </c>
      <c r="M4">
        <f>C33</f>
        <v>-797624.53813969251</v>
      </c>
      <c r="N4">
        <f>F33</f>
        <v>-76179.354787189513</v>
      </c>
      <c r="P4" t="s">
        <v>28</v>
      </c>
    </row>
    <row r="5" spans="2:16" ht="69" customHeight="1" x14ac:dyDescent="0.35">
      <c r="C5" s="119" t="s">
        <v>29</v>
      </c>
      <c r="D5" s="119" t="s">
        <v>30</v>
      </c>
      <c r="E5" s="119" t="s">
        <v>10</v>
      </c>
      <c r="F5" s="119" t="s">
        <v>31</v>
      </c>
      <c r="G5" s="119" t="s">
        <v>12</v>
      </c>
      <c r="J5" s="114" t="s">
        <v>32</v>
      </c>
      <c r="K5" s="114" t="s">
        <v>33</v>
      </c>
      <c r="L5" s="119" t="s">
        <v>34</v>
      </c>
      <c r="M5">
        <f>C14</f>
        <v>4449576.709999999</v>
      </c>
      <c r="N5">
        <f>F14</f>
        <v>5106169.6566666672</v>
      </c>
      <c r="P5" t="s">
        <v>35</v>
      </c>
    </row>
    <row r="6" spans="2:16" ht="14" hidden="1" customHeight="1" outlineLevel="1" x14ac:dyDescent="0.35">
      <c r="B6" s="121" t="s">
        <v>36</v>
      </c>
      <c r="C6" s="88">
        <f>IF($C$2=2026,C$67,IF($C$2=2030,C$103,C$67))</f>
        <v>257</v>
      </c>
      <c r="D6" s="88">
        <f>IF($C$2=2026,D$67,IF($C$2=2030,D$103,D$67))</f>
        <v>257</v>
      </c>
      <c r="E6" s="88">
        <f>IF($C$2=2026,E$67,IF($C$2=2030,E$103,E$67))</f>
        <v>257</v>
      </c>
      <c r="F6" s="88">
        <f>IF($C$2=2026,F$67,IF($C$2=2030,F$103,F$67))</f>
        <v>257</v>
      </c>
      <c r="G6" s="88">
        <f>IF($C$2=2026,G$67,IF($C$2=2030,G$103,G$67))</f>
        <v>257</v>
      </c>
      <c r="J6" s="88" t="s">
        <v>37</v>
      </c>
      <c r="K6" s="88"/>
      <c r="L6" t="s">
        <v>38</v>
      </c>
      <c r="M6">
        <f>C28</f>
        <v>3805794.9981396915</v>
      </c>
      <c r="N6">
        <f>F28</f>
        <v>4050770.9434071425</v>
      </c>
    </row>
    <row r="7" spans="2:16" ht="14" hidden="1" customHeight="1" outlineLevel="1" x14ac:dyDescent="0.35">
      <c r="B7" s="122" t="s">
        <v>39</v>
      </c>
      <c r="C7" s="88">
        <f>IF($C$2=2026,C$68,IF($C$2=2030,C$104,C$68))</f>
        <v>296</v>
      </c>
      <c r="D7" s="88">
        <f>IF($C$2=2026,D$68,IF($C$2=2030,D$104,D$68))</f>
        <v>296</v>
      </c>
      <c r="E7" s="88">
        <f>IF($C$2=2026,E$68,IF($C$2=2030,E$104,E$68))</f>
        <v>296</v>
      </c>
      <c r="F7" s="88">
        <f>IF($C$2=2026,F$68,IF($C$2=2030,F$104,F$68))</f>
        <v>296</v>
      </c>
      <c r="G7" s="88">
        <f>IF($C$2=2026,G$68,IF($C$2=2030,G$104,G$68))</f>
        <v>296</v>
      </c>
      <c r="J7" s="88"/>
      <c r="K7" s="88"/>
      <c r="L7" t="s">
        <v>40</v>
      </c>
      <c r="M7">
        <f>C31</f>
        <v>1441406.2499999998</v>
      </c>
      <c r="N7">
        <f>F31</f>
        <v>1183875</v>
      </c>
    </row>
    <row r="8" spans="2:16" ht="14" hidden="1" customHeight="1" outlineLevel="1" x14ac:dyDescent="0.35">
      <c r="B8" s="122" t="s">
        <v>41</v>
      </c>
      <c r="C8" s="88">
        <f>IF($C$2=2026,C$69,IF($C$2=2030,C$105,C$69))</f>
        <v>0</v>
      </c>
      <c r="D8" s="88">
        <f>IF($C$2=2026,D$69,IF($C$2=2030,D$105,D$69))</f>
        <v>0</v>
      </c>
      <c r="E8" s="95">
        <f>IF($C$2=2026,E$69,IF($C$2=2030,E$105,E$69))</f>
        <v>50</v>
      </c>
      <c r="F8" s="95">
        <f>IF($C$2=2026,F$69,IF($C$2=2030,F$105,F$69))</f>
        <v>16.666666666666686</v>
      </c>
      <c r="G8" s="95">
        <f>IF($C$2=2026,G$69,IF($C$2=2030,G$105,G$69))</f>
        <v>17</v>
      </c>
      <c r="J8" s="88"/>
      <c r="K8" s="88"/>
      <c r="L8" t="s">
        <v>42</v>
      </c>
      <c r="M8">
        <f>C36</f>
        <v>2714479.9999999995</v>
      </c>
      <c r="N8">
        <f>F36</f>
        <v>1600000</v>
      </c>
    </row>
    <row r="9" spans="2:16" ht="14" hidden="1" customHeight="1" outlineLevel="1" x14ac:dyDescent="0.35">
      <c r="B9" s="121" t="s">
        <v>43</v>
      </c>
      <c r="C9" s="88">
        <f>IF($C$2=2026,C$70,IF($C$2=2030,C$106,C$70))</f>
        <v>0.6</v>
      </c>
      <c r="D9" s="88" t="str">
        <f>IF($C$2=2026,D$70,IF($C$2=2030,D$106,D$70))</f>
        <v>N/A</v>
      </c>
      <c r="E9" s="88" t="str">
        <f>IF($C$2=2026,E$70,IF($C$2=2030,E$106,E$70))</f>
        <v>N/A</v>
      </c>
      <c r="F9" s="88">
        <f>IF($C$2=2026,F$70,IF($C$2=2030,F$106,F$70))</f>
        <v>0.6</v>
      </c>
      <c r="G9" s="88" t="str">
        <f>IF($C$2=2026,G$70,IF($C$2=2030,G$106,G$70))</f>
        <v>N/A</v>
      </c>
      <c r="J9" s="88" t="s">
        <v>44</v>
      </c>
      <c r="K9" s="88"/>
    </row>
    <row r="10" spans="2:16" ht="14" hidden="1" customHeight="1" outlineLevel="1" x14ac:dyDescent="0.35">
      <c r="B10" s="121" t="s">
        <v>45</v>
      </c>
      <c r="C10" s="88">
        <f>IF($C$2=2026,C$71,IF($C$2=2030,C$107,C$71))</f>
        <v>0.85</v>
      </c>
      <c r="D10" s="88" t="str">
        <f>IF($C$2=2026,D$71,IF($C$2=2030,D$107,D$71))</f>
        <v>N/A</v>
      </c>
      <c r="E10" s="88" t="str">
        <f>IF($C$2=2026,E$71,IF($C$2=2030,E$107,E$71))</f>
        <v>N/A</v>
      </c>
      <c r="F10" s="88" t="str">
        <f>IF($C$2=2026,F$71,IF($C$2=2030,F$107,F$71))</f>
        <v>N/A</v>
      </c>
      <c r="G10" s="88">
        <f>IF($C$2=2026,G$71,IF($C$2=2030,G$107,G$71))</f>
        <v>0.85</v>
      </c>
      <c r="J10" s="88" t="s">
        <v>46</v>
      </c>
      <c r="K10" s="88"/>
    </row>
    <row r="11" spans="2:16" ht="14" hidden="1" customHeight="1" outlineLevel="1" x14ac:dyDescent="0.35">
      <c r="B11" s="122" t="s">
        <v>47</v>
      </c>
      <c r="C11" s="95">
        <f>IF($C$2=2026,C$72,IF($C$2=2030,C$108,C$72))</f>
        <v>405.79999999999995</v>
      </c>
      <c r="D11" s="88">
        <f>IF($C$2=2026,D$72,IF($C$2=2030,D$108,D$72))</f>
        <v>0</v>
      </c>
      <c r="E11" s="88">
        <f>IF($C$2=2026,E$72,IF($C$2=2030,E$108,E$72))</f>
        <v>0</v>
      </c>
      <c r="F11" s="95">
        <f>IF($C$2=2026,F$72,IF($C$2=2030,F$108,F$72))</f>
        <v>154.19999999999999</v>
      </c>
      <c r="G11" s="95">
        <f>IF($C$2=2026,G$72,IF($C$2=2030,G$108,G$72))</f>
        <v>251.31666666666666</v>
      </c>
      <c r="J11" s="88"/>
      <c r="K11" s="88"/>
      <c r="N11" s="94"/>
    </row>
    <row r="12" spans="2:16" ht="14" hidden="1" customHeight="1" outlineLevel="1" x14ac:dyDescent="0.35">
      <c r="B12" s="122" t="s">
        <v>48</v>
      </c>
      <c r="C12" s="95">
        <f>IF($C$2=2026,C$73,IF($C$2=2030,C$109,C$73))</f>
        <v>405.79999999999995</v>
      </c>
      <c r="D12" s="88">
        <f>IF($C$2=2026,D$73,IF($C$2=2030,D$109,D$73))</f>
        <v>553</v>
      </c>
      <c r="E12" s="88">
        <f>IF($C$2=2026,E$73,IF($C$2=2030,E$109,E$73))</f>
        <v>603</v>
      </c>
      <c r="F12" s="95">
        <f>IF($C$2=2026,F$73,IF($C$2=2030,F$109,F$73))</f>
        <v>466.86666666666667</v>
      </c>
      <c r="G12" s="95">
        <f>IF($C$2=2026,G$73,IF($C$2=2030,G$109,G$73))</f>
        <v>525.31666666666661</v>
      </c>
      <c r="J12" s="88"/>
      <c r="K12" s="88"/>
      <c r="L12" t="s">
        <v>49</v>
      </c>
    </row>
    <row r="13" spans="2:16" ht="14" hidden="1" customHeight="1" outlineLevel="1" x14ac:dyDescent="0.35">
      <c r="B13" s="120" t="s">
        <v>50</v>
      </c>
      <c r="C13" s="96">
        <f>IF($C$2=2026,C$74,IF($C$2=2030,C$110,""))</f>
        <v>10964.949999999999</v>
      </c>
      <c r="D13" s="96">
        <f>IF($C$2=2026,D$74,IF($C$2=2030,D$110,""))</f>
        <v>10964.949999999999</v>
      </c>
      <c r="E13" s="96">
        <f>IF($C$2=2026,E$74,IF($C$2=2030,E$110,""))</f>
        <v>10900.273383084577</v>
      </c>
      <c r="F13" s="96">
        <f>IF($C$2=2026,F$74,IF($C$2=2030,F$110,""))</f>
        <v>10937.104790803942</v>
      </c>
      <c r="G13" s="96">
        <f>IF($C$2=2026,G$74,IF($C$2=2030,G$110,""))</f>
        <v>10939.708082426474</v>
      </c>
      <c r="J13" s="88"/>
      <c r="K13" s="88"/>
      <c r="L13" t="s">
        <v>51</v>
      </c>
    </row>
    <row r="14" spans="2:16" ht="14" customHeight="1" collapsed="1" x14ac:dyDescent="0.35">
      <c r="B14" s="87" t="s">
        <v>52</v>
      </c>
      <c r="C14" s="96">
        <f>IF($C$2=2026,C$75,IF($C$2=2030,C$111,C$75))</f>
        <v>4449576.709999999</v>
      </c>
      <c r="D14" s="96">
        <f>IF($C$2=2026,D$75,IF($C$2=2030,D$111,D$75))</f>
        <v>6063617.3499999996</v>
      </c>
      <c r="E14" s="96">
        <f>IF($C$2=2026,E$75,IF($C$2=2030,E$111,E$75))</f>
        <v>6572864.8500000006</v>
      </c>
      <c r="F14" s="96">
        <f>IF($C$2=2026,F$75,IF($C$2=2030,F$111,F$75))</f>
        <v>5106169.6566666672</v>
      </c>
      <c r="G14" s="96">
        <f>IF($C$2=2026,G$75,IF($C$2=2030,G$111,G$75))</f>
        <v>5746810.9841666669</v>
      </c>
      <c r="J14" s="88"/>
      <c r="K14" s="88"/>
      <c r="L14" t="s">
        <v>53</v>
      </c>
    </row>
    <row r="15" spans="2:16" ht="14" hidden="1" customHeight="1" outlineLevel="1" x14ac:dyDescent="0.35">
      <c r="B15" s="122" t="s">
        <v>54</v>
      </c>
      <c r="C15" s="96">
        <f>IF($C$2=2026,C$76,IF($C$2=2030,C$112,C$76))</f>
        <v>11589</v>
      </c>
      <c r="D15" s="96">
        <f>IF($C$2=2026,D$76,IF($C$2=2030,D$112,D$76))</f>
        <v>11589</v>
      </c>
      <c r="E15" s="96">
        <f>IF($C$2=2026,E$76,IF($C$2=2030,E$112,E$76))</f>
        <v>11589</v>
      </c>
      <c r="F15" s="96">
        <f>IF($C$2=2026,F$76,IF($C$2=2030,F$112,F$76))</f>
        <v>11589</v>
      </c>
      <c r="G15" s="96">
        <f>IF($C$2=2026,G$76,IF($C$2=2030,G$112,G$76))</f>
        <v>11589</v>
      </c>
      <c r="J15" s="88"/>
      <c r="K15" s="88"/>
      <c r="L15" t="s">
        <v>55</v>
      </c>
    </row>
    <row r="16" spans="2:16" ht="14" hidden="1" customHeight="1" outlineLevel="1" x14ac:dyDescent="0.35">
      <c r="B16" s="122" t="s">
        <v>56</v>
      </c>
      <c r="C16" s="96">
        <f>IF($C$2=2026,C$77,IF($C$2=2030,C$113,""))</f>
        <v>8403.3633363471963</v>
      </c>
      <c r="D16" s="96">
        <f>IF($C$2=2026,D$77,IF($C$2=2030,D$113,""))</f>
        <v>8344.5397929927658</v>
      </c>
      <c r="E16" s="96">
        <f>IF($C$2=2026,E$77,IF($C$2=2030,E$113,""))</f>
        <v>8344.5397929927658</v>
      </c>
      <c r="F16" s="96">
        <f>IF($C$2=2026,F$77,IF($C$2=2030,F$113,""))</f>
        <v>8364.687705887598</v>
      </c>
      <c r="G16" s="96">
        <f>IF($C$2=2026,G$77,IF($C$2=2030,G$113,""))</f>
        <v>8373.6227206376552</v>
      </c>
      <c r="J16" s="88"/>
      <c r="K16" s="88"/>
      <c r="L16" t="s">
        <v>57</v>
      </c>
      <c r="O16" s="96"/>
    </row>
    <row r="17" spans="2:12" ht="14" hidden="1" customHeight="1" outlineLevel="1" x14ac:dyDescent="0.35">
      <c r="B17" s="122" t="s">
        <v>58</v>
      </c>
      <c r="C17" s="95">
        <f>IF($C$2=2026,C$78,IF($C$2=2030,C$114,C$78))</f>
        <v>405.79999999999995</v>
      </c>
      <c r="D17" s="95">
        <f>IF($C$2=2026,D$78,IF($C$2=2030,D$114,D$78))</f>
        <v>553</v>
      </c>
      <c r="E17" s="95">
        <f>IF($C$2=2026,E$78,IF($C$2=2030,E$114,E$78))</f>
        <v>553</v>
      </c>
      <c r="F17" s="95">
        <f>IF($C$2=2026,F$78,IF($C$2=2030,F$114,F$78))</f>
        <v>450.2</v>
      </c>
      <c r="G17" s="95">
        <f>IF($C$2=2026,G$78,IF($C$2=2030,G$114,G$78))</f>
        <v>508.31666666666661</v>
      </c>
      <c r="J17" s="88"/>
      <c r="K17" s="88"/>
      <c r="L17" t="s">
        <v>59</v>
      </c>
    </row>
    <row r="18" spans="2:12" ht="14" customHeight="1" collapsed="1" x14ac:dyDescent="0.35">
      <c r="B18" s="120" t="s">
        <v>60</v>
      </c>
      <c r="C18" s="96">
        <f>IF($C$2=2026,C$79,IF($C$2=2030,C$115,C$79))</f>
        <v>3410084.841889692</v>
      </c>
      <c r="D18" s="96">
        <f>IF($C$2=2026,D$79,IF($C$2=2030,D$115,D$79))</f>
        <v>4614530.5055249995</v>
      </c>
      <c r="E18" s="96">
        <f>IF($C$2=2026,E$79,IF($C$2=2030,E$115,E$79))</f>
        <v>4614530.5055249995</v>
      </c>
      <c r="F18" s="96">
        <f>IF($C$2=2026,F$79,IF($C$2=2030,F$115,F$79))</f>
        <v>3765782.4051905964</v>
      </c>
      <c r="G18" s="96">
        <f>IF($C$2=2026,G$79,IF($C$2=2030,G$115,G$79))</f>
        <v>4256451.9892787971</v>
      </c>
      <c r="J18" s="88"/>
      <c r="K18" s="88"/>
      <c r="L18" t="s">
        <v>61</v>
      </c>
    </row>
    <row r="19" spans="2:12" ht="14" hidden="1" customHeight="1" outlineLevel="1" x14ac:dyDescent="0.35">
      <c r="B19" s="122" t="s">
        <v>62</v>
      </c>
      <c r="C19" s="95">
        <f>IF($C$2=2026,C$80,IF($C$2=2030,C$116,C$80))</f>
        <v>0</v>
      </c>
      <c r="D19" s="95">
        <f>IF($C$2=2026,D$80,IF($C$2=2030,D$116,D$80))</f>
        <v>0</v>
      </c>
      <c r="E19" s="95">
        <f>IF($C$2=2026,E$80,IF($C$2=2030,E$116,E$80))</f>
        <v>50</v>
      </c>
      <c r="F19" s="95">
        <f>IF($C$2=2026,F$80,IF($C$2=2030,F$116,F$80))</f>
        <v>16.666666666666686</v>
      </c>
      <c r="G19" s="95">
        <f>IF($C$2=2026,G$80,IF($C$2=2030,G$116,G$80))</f>
        <v>17</v>
      </c>
      <c r="J19" s="88"/>
      <c r="K19" s="88"/>
    </row>
    <row r="20" spans="2:12" ht="14" hidden="1" customHeight="1" outlineLevel="1" x14ac:dyDescent="0.35">
      <c r="B20" s="123" t="s">
        <v>63</v>
      </c>
      <c r="C20" s="85">
        <f>IF($C$2=2026,C$81,IF($C$2=2030,C$117,C$81))</f>
        <v>0.6</v>
      </c>
      <c r="D20" s="85">
        <f>IF($C$2=2026,D$81,IF($C$2=2030,D$117,D$81))</f>
        <v>0.6</v>
      </c>
      <c r="E20" s="85">
        <f>IF($C$2=2026,E$81,IF($C$2=2030,E$117,E$81))</f>
        <v>0.6</v>
      </c>
      <c r="F20" s="85">
        <f>IF($C$2=2026,F$81,IF($C$2=2030,F$117,F$81))</f>
        <v>0.6</v>
      </c>
      <c r="G20" s="85">
        <f>IF($C$2=2026,G$81,IF($C$2=2030,G$117,G$81))</f>
        <v>0.6</v>
      </c>
      <c r="J20" s="88" t="s">
        <v>46</v>
      </c>
      <c r="K20" s="88"/>
      <c r="L20" t="s">
        <v>64</v>
      </c>
    </row>
    <row r="21" spans="2:12" ht="14" hidden="1" customHeight="1" outlineLevel="1" x14ac:dyDescent="0.35">
      <c r="B21" s="122" t="s">
        <v>65</v>
      </c>
      <c r="C21" s="96">
        <f>IF($C$2=2026,C$82,IF($C$2=2030,C$118,C$82))</f>
        <v>5042.0180018083174</v>
      </c>
      <c r="D21" s="96">
        <f>IF($C$2=2026,D$82,IF($C$2=2030,D$118,D$82))</f>
        <v>5006.7238757956593</v>
      </c>
      <c r="E21" s="96">
        <f>IF($C$2=2026,E$82,IF($C$2=2030,E$118,E$82))</f>
        <v>5006.7238757956593</v>
      </c>
      <c r="F21" s="96">
        <f>IF($C$2=2026,F$82,IF($C$2=2030,F$118,F$82))</f>
        <v>5018.812623532559</v>
      </c>
      <c r="G21" s="96">
        <f>IF($C$2=2026,G$82,IF($C$2=2030,G$118,G$82))</f>
        <v>5024.1736323825926</v>
      </c>
      <c r="J21" s="88"/>
      <c r="K21" s="88"/>
      <c r="L21" t="s">
        <v>66</v>
      </c>
    </row>
    <row r="22" spans="2:12" ht="14" hidden="1" customHeight="1" outlineLevel="1" x14ac:dyDescent="0.35">
      <c r="B22" s="122" t="s">
        <v>67</v>
      </c>
      <c r="C22" s="96" t="str">
        <f>IF($C$2=2026,C$83,IF($C$2=2030,C$119,C$83))</f>
        <v>$200/student</v>
      </c>
      <c r="D22" s="96" t="str">
        <f>IF($C$2=2026,D$83,IF($C$2=2030,D$119,D$83))</f>
        <v>$200/student</v>
      </c>
      <c r="E22" s="96" t="str">
        <f>IF($C$2=2026,E$83,IF($C$2=2030,E$119,E$83))</f>
        <v>$200/student</v>
      </c>
      <c r="F22" s="96" t="str">
        <f>IF($C$2=2026,F$83,IF($C$2=2030,F$119,F$83))</f>
        <v>$200/student</v>
      </c>
      <c r="G22" s="96" t="str">
        <f>IF($C$2=2026,G$83,IF($C$2=2030,G$119,G$83))</f>
        <v>$200/student</v>
      </c>
      <c r="J22" s="88"/>
      <c r="K22" s="88"/>
      <c r="L22" t="s">
        <v>68</v>
      </c>
    </row>
    <row r="23" spans="2:12" ht="14" hidden="1" customHeight="1" outlineLevel="1" x14ac:dyDescent="0.35">
      <c r="B23" s="122" t="s">
        <v>69</v>
      </c>
      <c r="C23" s="115">
        <f>IF($C$2=2026,C$84,IF($C$2=2030,C$120,""))</f>
        <v>5206.7238757956593</v>
      </c>
      <c r="D23" s="115">
        <f>IF($C$2=2026,D$84,IF($C$2=2030,D$120,""))</f>
        <v>5206.7238757956593</v>
      </c>
      <c r="E23" s="115">
        <f>IF($C$2=2026,E$84,IF($C$2=2030,E$120,""))</f>
        <v>5206.7238757956593</v>
      </c>
      <c r="F23" s="115">
        <f>IF($C$2=2026,F$84,IF($C$2=2030,F$120,""))</f>
        <v>5206.7238757956593</v>
      </c>
      <c r="G23" s="115">
        <f>IF($C$2=2026,G$84,IF($C$2=2030,G$120,""))</f>
        <v>5206.7238757956593</v>
      </c>
      <c r="J23" s="88"/>
      <c r="K23" s="88"/>
    </row>
    <row r="24" spans="2:12" ht="14" customHeight="1" collapsed="1" x14ac:dyDescent="0.35">
      <c r="B24" s="120" t="s">
        <v>70</v>
      </c>
      <c r="C24" s="96" t="str">
        <f>IF($C$2=2026,C$85,IF($C$2=2030,C$121,C$85))</f>
        <v>N/A</v>
      </c>
      <c r="D24" s="96" t="str">
        <f>IF($C$2=2026,D$85,IF($C$2=2030,D$121,D$85))</f>
        <v>N/A</v>
      </c>
      <c r="E24" s="96">
        <f>IF($C$2=2026,E$85,IF($C$2=2030,E$121,E$85))</f>
        <v>260336.19378978296</v>
      </c>
      <c r="F24" s="96">
        <f>IF($C$2=2026,F$85,IF($C$2=2030,F$121,F$85))</f>
        <v>86778.731263261085</v>
      </c>
      <c r="G24" s="96">
        <f>IF($C$2=2026,G$85,IF($C$2=2030,G$121,G$85))</f>
        <v>88514.305888526214</v>
      </c>
      <c r="J24" s="88"/>
      <c r="K24" s="88"/>
    </row>
    <row r="25" spans="2:12" ht="14" customHeight="1" x14ac:dyDescent="0.35">
      <c r="B25" s="120" t="s">
        <v>71</v>
      </c>
      <c r="C25" s="115">
        <f>IF($C$2=2026,C$86,IF($C$2=2030,C$122,C$86))</f>
        <v>3399994.9981396915</v>
      </c>
      <c r="D25" s="115">
        <f>IF($C$2=2026,D$86,IF($C$2=2030,D$122,D$86))</f>
        <v>4601077.3805249995</v>
      </c>
      <c r="E25" s="115">
        <f>IF($C$2=2026,E$86,IF($C$2=2030,E$122,E$86))</f>
        <v>5018304.370174638</v>
      </c>
      <c r="F25" s="115">
        <f>IF($C$2=2026,F$86,IF($C$2=2030,F$122,F$86))</f>
        <v>3896570.9434071425</v>
      </c>
      <c r="G25" s="115">
        <f>IF($C$2=2026,G$86,IF($C$2=2030,G$122,G$86))</f>
        <v>4390452.5407596743</v>
      </c>
      <c r="J25" s="88"/>
      <c r="K25" s="88"/>
    </row>
    <row r="26" spans="2:12" ht="14" hidden="1" customHeight="1" outlineLevel="1" x14ac:dyDescent="0.35">
      <c r="B26" s="121" t="s">
        <v>72</v>
      </c>
      <c r="C26" s="85" t="str">
        <f>IF($C$2=2026,C$87,IF($C$2=2030,C$123,C$87))</f>
        <v>$1000/student</v>
      </c>
      <c r="D26" s="88" t="str">
        <f>IF($C$2=2026,D$87,IF($C$2=2030,D$123,D$87))</f>
        <v>N/A</v>
      </c>
      <c r="E26" s="88" t="str">
        <f>IF($C$2=2026,E$87,IF($C$2=2030,E$123,E$87))</f>
        <v>N/A</v>
      </c>
      <c r="F26" s="85" t="str">
        <f>IF($C$2=2026,F$87,IF($C$2=2030,F$123,F$87))</f>
        <v>$1000/student</v>
      </c>
      <c r="G26" s="85" t="str">
        <f>IF($C$2=2026,G$87,IF($C$2=2030,G$123,G$87))</f>
        <v>$1000/student</v>
      </c>
      <c r="J26" s="88" t="s">
        <v>46</v>
      </c>
      <c r="K26" s="88"/>
      <c r="L26" t="s">
        <v>73</v>
      </c>
    </row>
    <row r="27" spans="2:12" ht="14" customHeight="1" collapsed="1" x14ac:dyDescent="0.35">
      <c r="B27" s="120" t="s">
        <v>74</v>
      </c>
      <c r="C27" s="96">
        <f>IF($C$2=2026,C$88,IF($C$2=2030,C$124,""))</f>
        <v>405799.99999999994</v>
      </c>
      <c r="D27" s="88">
        <f>IF($C$2=2026,D$88,IF($C$2=2030,D$124,""))</f>
        <v>0</v>
      </c>
      <c r="E27" s="88">
        <f>IF($C$2=2026,E$88,IF($C$2=2030,E$124,""))</f>
        <v>0</v>
      </c>
      <c r="F27" s="96">
        <f>IF($C$2=2026,F$88,IF($C$2=2030,F$124,""))</f>
        <v>154200</v>
      </c>
      <c r="G27" s="96">
        <f>IF($C$2=2026,G$88,IF($C$2=2030,G$124,""))</f>
        <v>251316.66666666666</v>
      </c>
      <c r="J27" s="88"/>
      <c r="K27" s="88"/>
    </row>
    <row r="28" spans="2:12" ht="14" customHeight="1" x14ac:dyDescent="0.35">
      <c r="B28" s="120" t="s">
        <v>75</v>
      </c>
      <c r="C28" s="115">
        <f>IF($C$2=2026,C$89,IF($C$2=2030,C$125,C$89))</f>
        <v>3805794.9981396915</v>
      </c>
      <c r="D28" s="115">
        <f>IF($C$2=2026,D$89,IF($C$2=2030,D$125,D$89))</f>
        <v>4601077.3805249995</v>
      </c>
      <c r="E28" s="115">
        <f>IF($C$2=2026,E$89,IF($C$2=2030,E$125,E$89))</f>
        <v>5018304.370174638</v>
      </c>
      <c r="F28" s="115">
        <f>IF($C$2=2026,F$89,IF($C$2=2030,F$125,F$89))</f>
        <v>4050770.9434071425</v>
      </c>
      <c r="G28" s="115">
        <f>IF($C$2=2026,G$89,IF($C$2=2030,G$125,G$89))</f>
        <v>4641769.2074263413</v>
      </c>
      <c r="J28" s="88"/>
      <c r="K28" s="88"/>
    </row>
    <row r="29" spans="2:12" ht="14" hidden="1" customHeight="1" outlineLevel="1" x14ac:dyDescent="0.35">
      <c r="B29" s="87" t="s">
        <v>76</v>
      </c>
      <c r="C29" s="96">
        <f>IF($C$2=2026,C$90,IF($C$2=2030,C$126,C$90))</f>
        <v>1921874.9999999998</v>
      </c>
      <c r="D29" s="96">
        <f>IF($C$2=2026,D$90,IF($C$2=2030,D$126,D$90))</f>
        <v>1921874.9999999998</v>
      </c>
      <c r="E29" s="96">
        <f>IF($C$2=2026,E$90,IF($C$2=2030,E$126,E$90))</f>
        <v>1921874.9999999998</v>
      </c>
      <c r="F29" s="96">
        <f>IF($C$2=2026,F$90,IF($C$2=2030,F$126,F$90))</f>
        <v>1921874.9999999998</v>
      </c>
      <c r="G29" s="96">
        <f>IF($C$2=2026,G$90,IF($C$2=2030,G$126,G$90))</f>
        <v>1921874.9999999998</v>
      </c>
      <c r="J29" s="88" t="s">
        <v>44</v>
      </c>
      <c r="K29" s="88"/>
    </row>
    <row r="30" spans="2:12" ht="14" hidden="1" customHeight="1" outlineLevel="1" x14ac:dyDescent="0.35">
      <c r="B30" s="122" t="s">
        <v>77</v>
      </c>
      <c r="C30" s="85">
        <f>IF($C$2=2026,C$91,IF($C$2=2030,C$127,C$91))</f>
        <v>0.2</v>
      </c>
      <c r="D30" s="88" t="str">
        <f>IF($C$2=2026,D$91,IF($C$2=2030,D$127,D$91))</f>
        <v>N/A</v>
      </c>
      <c r="E30" s="88" t="str">
        <f>IF($C$2=2026,E$91,IF($C$2=2030,E$127,E$91))</f>
        <v>N/A</v>
      </c>
      <c r="F30" s="85">
        <f>IF($C$2=2026,F$91,IF($C$2=2030,F$127,F$91))</f>
        <v>0.2</v>
      </c>
      <c r="G30" s="85">
        <f>IF($C$2=2026,G$91,IF($C$2=2030,G$127,G$91))</f>
        <v>0.2</v>
      </c>
      <c r="J30" s="88" t="s">
        <v>46</v>
      </c>
      <c r="K30" s="88"/>
    </row>
    <row r="31" spans="2:12" ht="14" customHeight="1" collapsed="1" x14ac:dyDescent="0.35">
      <c r="B31" s="120" t="s">
        <v>40</v>
      </c>
      <c r="C31" s="96">
        <f>IF($C$2=2026,C$92,IF($C$2=2030,C$128,""))</f>
        <v>1441406.2499999998</v>
      </c>
      <c r="D31" s="96">
        <f>IF($C$2=2026,D$92,IF($C$2=2030,D$128,""))</f>
        <v>1921874.9999999998</v>
      </c>
      <c r="E31" s="96">
        <f>IF($C$2=2026,E$92,IF($C$2=2030,E$128,""))</f>
        <v>1921874.9999999998</v>
      </c>
      <c r="F31" s="96">
        <f>IF($C$2=2026,F$92,IF($C$2=2030,F$128,""))</f>
        <v>1183875</v>
      </c>
      <c r="G31" s="96">
        <f>IF($C$2=2026,G$92,IF($C$2=2030,G$128,""))</f>
        <v>1122375</v>
      </c>
      <c r="J31" s="88"/>
      <c r="K31" s="88"/>
    </row>
    <row r="32" spans="2:12" ht="14" customHeight="1" thickBot="1" x14ac:dyDescent="0.4">
      <c r="B32" s="87" t="s">
        <v>78</v>
      </c>
      <c r="C32" s="115">
        <f>IF($C$2=2026,C$93,IF($C$2=2030,C$129,C$93))</f>
        <v>5247201.2481396915</v>
      </c>
      <c r="D32" s="115">
        <f>IF($C$2=2026,D$93,IF($C$2=2030,D$129,D$93))</f>
        <v>6522952.3805249995</v>
      </c>
      <c r="E32" s="115">
        <f>IF($C$2=2026,E$93,IF($C$2=2030,E$129,E$93))</f>
        <v>6940179.370174638</v>
      </c>
      <c r="F32" s="115">
        <f>IF($C$2=2026,F$93,IF($C$2=2030,F$129,F$93))</f>
        <v>5234645.9434071425</v>
      </c>
      <c r="G32" s="115">
        <f>IF($C$2=2026,G$93,IF($C$2=2030,G$129,G$93))</f>
        <v>5764144.2074263413</v>
      </c>
      <c r="J32" s="88"/>
      <c r="K32" s="88"/>
    </row>
    <row r="33" spans="2:11" ht="14" customHeight="1" thickBot="1" x14ac:dyDescent="0.4">
      <c r="B33" s="126" t="s">
        <v>79</v>
      </c>
      <c r="C33" s="128">
        <f>IF($C$2=2026,C$94,IF($C$2=2030,C$130,C$94))</f>
        <v>-797624.53813969251</v>
      </c>
      <c r="D33" s="129">
        <f>IF($C$2=2026,D$94,IF($C$2=2030,D$130,D$94))</f>
        <v>-459335.03052499983</v>
      </c>
      <c r="E33" s="128">
        <f>IF($C$2=2026,E$94,IF($C$2=2030,E$130,E$94))</f>
        <v>-210423.72431478277</v>
      </c>
      <c r="F33" s="128">
        <f>IF($C$2=2026,F$94,IF($C$2=2030,F$130,F$94))</f>
        <v>-76179.354787189513</v>
      </c>
      <c r="G33" s="128">
        <f>IF($C$2=2026,G$94,IF($C$2=2030,G$130,G$94))</f>
        <v>36009.647332676686</v>
      </c>
      <c r="J33" s="88"/>
      <c r="K33" s="88"/>
    </row>
    <row r="34" spans="2:11" x14ac:dyDescent="0.35">
      <c r="C34" s="88"/>
      <c r="D34" s="88"/>
      <c r="E34" s="88"/>
      <c r="F34" s="88"/>
      <c r="G34" s="88"/>
      <c r="J34" s="88"/>
      <c r="K34" s="88"/>
    </row>
    <row r="35" spans="2:11" ht="15" customHeight="1" thickBot="1" x14ac:dyDescent="0.4">
      <c r="C35" s="88"/>
      <c r="D35" s="88"/>
      <c r="E35" s="88"/>
      <c r="F35" s="88"/>
      <c r="G35" s="88"/>
      <c r="J35" s="88"/>
      <c r="K35" s="88" t="s">
        <v>16</v>
      </c>
    </row>
    <row r="36" spans="2:11" ht="15" customHeight="1" thickBot="1" x14ac:dyDescent="0.4">
      <c r="B36" s="126" t="s">
        <v>80</v>
      </c>
      <c r="C36" s="128">
        <f>IF($C$2=2026,C$97,IF($C$2=2030,C$133,C$97))</f>
        <v>2714479.9999999995</v>
      </c>
      <c r="D36" s="128">
        <f>IF($C$2=2026,D$97,IF($C$2=2030,D$133,D$97))</f>
        <v>0</v>
      </c>
      <c r="E36" s="128">
        <f>IF($C$2=2026,E$97,IF($C$2=2030,E$133,E$97))</f>
        <v>1800000</v>
      </c>
      <c r="F36" s="128">
        <f>IF($C$2=2026,F$97,IF($C$2=2030,F$133,F$97))</f>
        <v>1600000</v>
      </c>
      <c r="G36" s="128">
        <f>IF($C$2=2026,G$97,IF($C$2=2030,G$133,G$97))</f>
        <v>1600000</v>
      </c>
      <c r="J36" s="88"/>
      <c r="K36" s="88"/>
    </row>
    <row r="37" spans="2:11" x14ac:dyDescent="0.35">
      <c r="C37" s="88"/>
      <c r="D37" s="88"/>
      <c r="E37" s="88"/>
      <c r="F37" s="88"/>
      <c r="G37" s="88"/>
      <c r="J37" s="88"/>
      <c r="K37" s="88"/>
    </row>
    <row r="38" spans="2:11" x14ac:dyDescent="0.35">
      <c r="C38" s="88"/>
      <c r="D38" s="88"/>
      <c r="E38" s="88"/>
      <c r="F38" s="88"/>
      <c r="G38" s="88"/>
      <c r="J38" s="88"/>
      <c r="K38" s="88"/>
    </row>
    <row r="39" spans="2:11" x14ac:dyDescent="0.35">
      <c r="C39" s="88"/>
      <c r="D39" s="88"/>
      <c r="E39" s="88"/>
      <c r="F39" s="88"/>
      <c r="G39" s="88"/>
      <c r="J39" s="88"/>
      <c r="K39" s="88"/>
    </row>
    <row r="40" spans="2:11" x14ac:dyDescent="0.35">
      <c r="C40" s="88"/>
      <c r="D40" s="88"/>
      <c r="E40" s="88"/>
      <c r="F40" s="88"/>
      <c r="G40" s="88"/>
      <c r="J40" s="88"/>
      <c r="K40" s="88"/>
    </row>
    <row r="41" spans="2:11" x14ac:dyDescent="0.35">
      <c r="B41" s="87" t="s">
        <v>81</v>
      </c>
      <c r="C41" s="96">
        <f>IF($C$2=2026,MultiYear_ProForma!$AF$32,IF($C$2=2030,MultiYear_ProForma!$AF$36,""))</f>
        <v>-797624.53813969251</v>
      </c>
      <c r="D41" s="96">
        <f>IF($C$2=2026,MultiYear_ProForma!$AF$62,IF($C$2=2030,MultiYear_ProForma!$AF$66,""))</f>
        <v>-459335.03052499983</v>
      </c>
      <c r="E41" s="96">
        <f>IF($C$2=2026,MultiYear_ProForma!$AF$17,IF($C$2=2030,MultiYear_ProForma!$AF$21,""))</f>
        <v>-210423.72431478277</v>
      </c>
      <c r="F41" s="96">
        <f>IF($C$2=2026,MultiYear_ProForma!$AF$42,IF($C$2=2030,MultiYear_ProForma!$AF$46,""))</f>
        <v>-76179.354787189513</v>
      </c>
      <c r="G41" s="96">
        <f>IF($C$2=2026,MultiYear_ProForma!$AF$52,IF($C$2=2030,MultiYear_ProForma!$AF$56,""))</f>
        <v>36009.647332676686</v>
      </c>
      <c r="J41" s="88"/>
      <c r="K41" s="88"/>
    </row>
    <row r="42" spans="2:11" x14ac:dyDescent="0.35">
      <c r="B42" s="87" t="s">
        <v>82</v>
      </c>
      <c r="C42" s="115">
        <f>C41-C33</f>
        <v>0</v>
      </c>
      <c r="D42" s="115">
        <f>D41-D33</f>
        <v>0</v>
      </c>
      <c r="E42" s="115">
        <f>E41-E33</f>
        <v>0</v>
      </c>
      <c r="F42" s="115">
        <f>F41-F33</f>
        <v>0</v>
      </c>
      <c r="G42" s="115">
        <f>G41-G33</f>
        <v>0</v>
      </c>
      <c r="J42" s="88"/>
      <c r="K42" s="88"/>
    </row>
    <row r="43" spans="2:11" x14ac:dyDescent="0.35">
      <c r="B43" s="87" t="s">
        <v>83</v>
      </c>
      <c r="C43" s="113">
        <f>C42/C41</f>
        <v>0</v>
      </c>
      <c r="D43" s="113">
        <f>D42/D41</f>
        <v>0</v>
      </c>
      <c r="E43" s="113">
        <f>E42/E41</f>
        <v>0</v>
      </c>
      <c r="F43" s="113">
        <f>F42/F41</f>
        <v>0</v>
      </c>
      <c r="G43" s="113">
        <f>G42/G41</f>
        <v>0</v>
      </c>
      <c r="J43" s="88"/>
      <c r="K43" s="88"/>
    </row>
    <row r="45" spans="2:11" x14ac:dyDescent="0.35">
      <c r="C45" s="97"/>
      <c r="D45" s="97"/>
      <c r="E45" s="97"/>
      <c r="F45" s="97"/>
      <c r="G45" s="97"/>
    </row>
    <row r="46" spans="2:11" x14ac:dyDescent="0.35">
      <c r="B46" s="99"/>
    </row>
    <row r="47" spans="2:11" x14ac:dyDescent="0.35">
      <c r="C47" s="98"/>
      <c r="D47" s="98"/>
      <c r="E47" s="98"/>
      <c r="F47" s="98"/>
      <c r="G47" s="98"/>
    </row>
    <row r="48" spans="2:11" ht="14.5" customHeight="1" x14ac:dyDescent="0.35">
      <c r="B48" s="99"/>
      <c r="C48" s="98"/>
    </row>
    <row r="50" spans="2:11" x14ac:dyDescent="0.35">
      <c r="B50" s="110"/>
      <c r="C50" s="88"/>
      <c r="D50" s="88"/>
      <c r="E50" s="88"/>
      <c r="F50" s="88"/>
      <c r="G50" s="88"/>
      <c r="J50" s="88"/>
      <c r="K50" s="88"/>
    </row>
    <row r="51" spans="2:11" x14ac:dyDescent="0.35">
      <c r="B51" s="110"/>
      <c r="C51" s="111"/>
      <c r="D51" s="111"/>
      <c r="E51" s="111"/>
      <c r="F51" s="111"/>
      <c r="G51" s="111"/>
      <c r="J51" s="88"/>
      <c r="K51" s="88"/>
    </row>
    <row r="52" spans="2:11" x14ac:dyDescent="0.35">
      <c r="C52" s="88"/>
      <c r="D52" s="88"/>
      <c r="E52" s="88"/>
      <c r="F52" s="88"/>
      <c r="G52" s="88"/>
      <c r="J52" s="88"/>
      <c r="K52" s="88"/>
    </row>
    <row r="53" spans="2:11" x14ac:dyDescent="0.35">
      <c r="C53" s="88"/>
      <c r="D53" s="88"/>
      <c r="E53" s="88"/>
      <c r="F53" s="88"/>
      <c r="G53" s="88"/>
      <c r="J53" s="88"/>
      <c r="K53" s="88"/>
    </row>
    <row r="55" spans="2:11" x14ac:dyDescent="0.35">
      <c r="B55" s="112"/>
      <c r="D55" s="88"/>
      <c r="E55" s="88"/>
    </row>
    <row r="56" spans="2:11" x14ac:dyDescent="0.35">
      <c r="C56" s="96"/>
      <c r="D56" s="88"/>
      <c r="E56" s="88"/>
      <c r="F56" s="96"/>
      <c r="G56" s="96"/>
    </row>
    <row r="58" spans="2:11" x14ac:dyDescent="0.35">
      <c r="B58" s="112"/>
      <c r="C58" s="85"/>
      <c r="D58" s="88"/>
      <c r="E58" s="88"/>
      <c r="F58" s="85"/>
      <c r="G58" s="85"/>
      <c r="J58" s="88"/>
      <c r="K58" s="88"/>
    </row>
    <row r="59" spans="2:11" x14ac:dyDescent="0.35">
      <c r="C59" s="96"/>
      <c r="D59" s="88"/>
      <c r="E59" s="88"/>
      <c r="F59" s="96"/>
      <c r="G59" s="96"/>
    </row>
    <row r="61" spans="2:11" x14ac:dyDescent="0.35">
      <c r="B61" s="112"/>
      <c r="C61" s="88"/>
      <c r="D61" s="85"/>
      <c r="E61" s="85"/>
      <c r="F61" s="88"/>
      <c r="G61" s="88"/>
      <c r="J61" s="88"/>
      <c r="K61" s="88"/>
    </row>
    <row r="63" spans="2:11" x14ac:dyDescent="0.35">
      <c r="C63" s="96"/>
    </row>
    <row r="64" spans="2:11" x14ac:dyDescent="0.35">
      <c r="B64" s="112"/>
      <c r="C64" s="96"/>
      <c r="D64" s="88"/>
      <c r="E64" s="88"/>
      <c r="F64" s="88"/>
      <c r="G64" s="88"/>
      <c r="J64" s="88"/>
      <c r="K64" s="88"/>
    </row>
    <row r="65" spans="2:12" x14ac:dyDescent="0.35">
      <c r="B65" s="99" t="s">
        <v>84</v>
      </c>
      <c r="C65" s="116" t="s">
        <v>85</v>
      </c>
      <c r="D65" s="116" t="s">
        <v>26</v>
      </c>
      <c r="E65" s="116" t="s">
        <v>25</v>
      </c>
      <c r="F65" s="116" t="s">
        <v>86</v>
      </c>
      <c r="G65" s="116" t="s">
        <v>87</v>
      </c>
    </row>
    <row r="66" spans="2:12" ht="39" customHeight="1" x14ac:dyDescent="0.35">
      <c r="C66" s="119" t="s">
        <v>88</v>
      </c>
      <c r="D66" s="119" t="s">
        <v>89</v>
      </c>
      <c r="E66" s="119" t="s">
        <v>90</v>
      </c>
      <c r="F66" s="119" t="s">
        <v>91</v>
      </c>
      <c r="G66" s="119" t="s">
        <v>92</v>
      </c>
      <c r="J66" s="114" t="s">
        <v>32</v>
      </c>
      <c r="K66" s="114" t="s">
        <v>33</v>
      </c>
      <c r="L66" s="119" t="s">
        <v>93</v>
      </c>
    </row>
    <row r="67" spans="2:12" x14ac:dyDescent="0.35">
      <c r="B67" s="121" t="s">
        <v>36</v>
      </c>
      <c r="C67" s="88">
        <f>Parameters_Public!$C$10</f>
        <v>257</v>
      </c>
      <c r="D67" s="88">
        <f>Parameters_Public!$C$10</f>
        <v>257</v>
      </c>
      <c r="E67" s="88">
        <f>Parameters_Public!$C$10</f>
        <v>257</v>
      </c>
      <c r="F67" s="88">
        <f>Parameters_Public!$C$10</f>
        <v>257</v>
      </c>
      <c r="G67" s="88">
        <f>Parameters_Public!$C$10</f>
        <v>257</v>
      </c>
      <c r="J67" s="88" t="s">
        <v>37</v>
      </c>
      <c r="K67" s="88"/>
    </row>
    <row r="68" spans="2:12" x14ac:dyDescent="0.35">
      <c r="B68" s="122" t="s">
        <v>39</v>
      </c>
      <c r="C68" s="88">
        <f>Parameters_Public!$C$11</f>
        <v>296</v>
      </c>
      <c r="D68" s="88">
        <f>Parameters_Public!$C$11</f>
        <v>296</v>
      </c>
      <c r="E68" s="88">
        <f>Parameters_Public!$C$11</f>
        <v>296</v>
      </c>
      <c r="F68" s="88">
        <f>Parameters_Public!$C$11</f>
        <v>296</v>
      </c>
      <c r="G68" s="88">
        <f>Parameters_Public!$C$11</f>
        <v>296</v>
      </c>
      <c r="J68" s="88"/>
      <c r="K68" s="88"/>
    </row>
    <row r="69" spans="2:12" x14ac:dyDescent="0.35">
      <c r="B69" s="122" t="s">
        <v>41</v>
      </c>
      <c r="C69" s="88">
        <v>0</v>
      </c>
      <c r="D69" s="88">
        <v>0</v>
      </c>
      <c r="E69" s="95">
        <f>MultiYear_ProForma!$AB$17</f>
        <v>50</v>
      </c>
      <c r="F69" s="95">
        <f>MultiYear_ProForma!$AB$42</f>
        <v>16.666666666666686</v>
      </c>
      <c r="G69" s="95">
        <f>MultiYear_ProForma!$AB$52</f>
        <v>17</v>
      </c>
      <c r="J69" s="88"/>
      <c r="K69" s="88"/>
    </row>
    <row r="70" spans="2:12" x14ac:dyDescent="0.35">
      <c r="B70" s="121" t="s">
        <v>43</v>
      </c>
      <c r="C70" s="88">
        <f>Parameters_Public!$C$23</f>
        <v>0.6</v>
      </c>
      <c r="D70" s="88" t="str">
        <f>"N/A"</f>
        <v>N/A</v>
      </c>
      <c r="E70" s="88" t="str">
        <f>"N/A"</f>
        <v>N/A</v>
      </c>
      <c r="F70" s="88">
        <f>Parameters_Public!$C$23</f>
        <v>0.6</v>
      </c>
      <c r="G70" s="88" t="str">
        <f>"N/A"</f>
        <v>N/A</v>
      </c>
      <c r="J70" s="88" t="s">
        <v>44</v>
      </c>
      <c r="K70" s="88"/>
    </row>
    <row r="71" spans="2:12" x14ac:dyDescent="0.35">
      <c r="B71" s="121" t="s">
        <v>45</v>
      </c>
      <c r="C71" s="88">
        <f>Parameters_Public!$C$24</f>
        <v>0.85</v>
      </c>
      <c r="D71" s="88" t="str">
        <f>"N/A"</f>
        <v>N/A</v>
      </c>
      <c r="E71" s="88" t="str">
        <f>"N/A"</f>
        <v>N/A</v>
      </c>
      <c r="F71" s="88" t="str">
        <f>"N/A"</f>
        <v>N/A</v>
      </c>
      <c r="G71" s="88">
        <f>Parameters_Public!$C$24</f>
        <v>0.85</v>
      </c>
      <c r="J71" s="88" t="s">
        <v>46</v>
      </c>
      <c r="K71" s="88"/>
    </row>
    <row r="72" spans="2:12" x14ac:dyDescent="0.35">
      <c r="B72" s="122" t="s">
        <v>47</v>
      </c>
      <c r="C72" s="95">
        <f>MultiYear_ProForma!$O$32</f>
        <v>405.79999999999995</v>
      </c>
      <c r="D72" s="95">
        <f>MultiYear_ProForma!$O$62</f>
        <v>0</v>
      </c>
      <c r="E72" s="95">
        <f>MultiYear_ProForma!$O$17</f>
        <v>0</v>
      </c>
      <c r="F72" s="95">
        <f>MultiYear_ProForma!$O$42</f>
        <v>154.19999999999999</v>
      </c>
      <c r="G72" s="95">
        <f>MultiYear_ProForma!$O$52</f>
        <v>251.31666666666666</v>
      </c>
      <c r="J72" s="88"/>
      <c r="K72" s="88"/>
    </row>
    <row r="73" spans="2:12" x14ac:dyDescent="0.35">
      <c r="B73" s="122" t="s">
        <v>48</v>
      </c>
      <c r="C73" s="95">
        <f>C72+C69</f>
        <v>405.79999999999995</v>
      </c>
      <c r="D73" s="88">
        <f>D68+D67+D69</f>
        <v>553</v>
      </c>
      <c r="E73" s="88">
        <f>E69+E68+E67</f>
        <v>603</v>
      </c>
      <c r="F73" s="95">
        <f>F68+F72+F69</f>
        <v>466.86666666666667</v>
      </c>
      <c r="G73" s="95">
        <f>G72+G67+G69</f>
        <v>525.31666666666661</v>
      </c>
      <c r="J73" s="88"/>
      <c r="K73" s="88"/>
    </row>
    <row r="74" spans="2:12" x14ac:dyDescent="0.35">
      <c r="B74" s="120" t="s">
        <v>94</v>
      </c>
      <c r="C74" s="96">
        <f>MultiYear_ProForma!$AD$32/Dashboard!C73</f>
        <v>10964.949999999999</v>
      </c>
      <c r="D74" s="96">
        <f>MultiYear_ProForma!$AD$62/Dashboard!D73</f>
        <v>10964.949999999999</v>
      </c>
      <c r="E74" s="96">
        <f>MultiYear_ProForma!$AD$17/Dashboard!E73</f>
        <v>10900.273383084577</v>
      </c>
      <c r="F74" s="96">
        <f>MultiYear_ProForma!$AD$42/Dashboard!F73</f>
        <v>10937.104790803942</v>
      </c>
      <c r="G74" s="96">
        <f>MultiYear_ProForma!$AD$52/Dashboard!G73</f>
        <v>10939.708082426474</v>
      </c>
      <c r="J74" s="88"/>
      <c r="K74" s="88"/>
      <c r="L74" t="s">
        <v>95</v>
      </c>
    </row>
    <row r="75" spans="2:12" x14ac:dyDescent="0.35">
      <c r="B75" s="87" t="s">
        <v>52</v>
      </c>
      <c r="C75" s="96">
        <f>C74*C73</f>
        <v>4449576.709999999</v>
      </c>
      <c r="D75" s="96">
        <f>D74*D73</f>
        <v>6063617.3499999996</v>
      </c>
      <c r="E75" s="96">
        <f>E74*E73</f>
        <v>6572864.8500000006</v>
      </c>
      <c r="F75" s="96">
        <f>F74*F73</f>
        <v>5106169.6566666672</v>
      </c>
      <c r="G75" s="96">
        <f>G74*G73</f>
        <v>5746810.9841666669</v>
      </c>
      <c r="J75" s="88"/>
      <c r="K75" s="88"/>
    </row>
    <row r="76" spans="2:12" x14ac:dyDescent="0.35">
      <c r="B76" s="122" t="s">
        <v>54</v>
      </c>
      <c r="C76" s="96">
        <f>Parameters_Public!$C$14</f>
        <v>11589</v>
      </c>
      <c r="D76" s="96">
        <f>Parameters_Public!$C$14</f>
        <v>11589</v>
      </c>
      <c r="E76" s="96">
        <f>Parameters_Public!$C$14</f>
        <v>11589</v>
      </c>
      <c r="F76" s="96">
        <f>Parameters_Public!$C$14</f>
        <v>11589</v>
      </c>
      <c r="G76" s="96">
        <f>Parameters_Public!$C$14</f>
        <v>11589</v>
      </c>
      <c r="J76" s="88"/>
      <c r="K76" s="88"/>
      <c r="L76" t="s">
        <v>96</v>
      </c>
    </row>
    <row r="77" spans="2:12" x14ac:dyDescent="0.35">
      <c r="B77" s="122" t="s">
        <v>97</v>
      </c>
      <c r="C77" s="96">
        <f>BaselineCalc!$B$18*(IF(ROUNDUP(IF(C70="N/A", 0, C70)+IF(C71="N/A", 0, C71), 0)=2, 1,IF(ROUNDUP(IF(C70="N/A", 0, C70)+IF(C71="N/A", 0, C71), 0)=1,(1-BaselineCalc!$B$5/2),(1-BaselineCalc!$B$5))))</f>
        <v>8403.3633363471963</v>
      </c>
      <c r="D77" s="96">
        <f>BaselineCalc!$B$18*(IF(ROUNDUP(IF(D70="N/A", 0, D70)+IF(D71="N/A", 0, D71), 0)=2, 1,IF(ROUNDUP(IF(D70="N/A", 0, D70)+IF(D71="N/A", 0, D71), 0)=1,(1-BaselineCalc!$B$5/2),(1-BaselineCalc!$B$5))))</f>
        <v>8344.5397929927658</v>
      </c>
      <c r="E77" s="96">
        <f>BaselineCalc!$B$18*(IF(ROUNDUP(IF(E70="N/A", 0, E70)+IF(E71="N/A", 0, E71), 0)=2, 1,IF(ROUNDUP(IF(E70="N/A", 0, E70)+IF(E71="N/A", 0, E71), 0)=1,(1-BaselineCalc!$B$5/2),(1-BaselineCalc!$B$5))))</f>
        <v>8344.5397929927658</v>
      </c>
      <c r="F77" s="96">
        <f>BaselineCalc!$B$18*(IF(ROUNDUP(IF(F70="N/A", 0, F70)+IF(F71="N/A", 0, F71), 0)=2, 1,IF(ROUNDUP(IF(F70="N/A", 0, F70)+IF(F71="N/A", 0, F71), 0)=1,(1-BaselineCalc!$B$5*(F68/(F68+F72))),(1-BaselineCalc!$B$5))))</f>
        <v>8364.687705887598</v>
      </c>
      <c r="G77" s="96">
        <f>BaselineCalc!$B$18*(IF(ROUNDUP(IF(G70="N/A", 0, G70)+IF(G71="N/A", 0, G71), 0)=2, 1,IF(ROUNDUP(IF(G70="N/A", 0, G70)+IF(G71="N/A", 0, G71), 0)=1,(1-BaselineCalc!$B$5*(G67/(G67+G72))),(1-BaselineCalc!$B$5))))</f>
        <v>8373.6227206376552</v>
      </c>
      <c r="J77" s="88"/>
      <c r="K77" s="88"/>
    </row>
    <row r="78" spans="2:12" x14ac:dyDescent="0.35">
      <c r="B78" s="122" t="s">
        <v>58</v>
      </c>
      <c r="C78" s="95">
        <f>MAX(C73 - C69, 0)</f>
        <v>405.79999999999995</v>
      </c>
      <c r="D78" s="95">
        <f>MAX(D73 - D69, 0)</f>
        <v>553</v>
      </c>
      <c r="E78" s="95">
        <f>MAX(E73 - E69, 0)</f>
        <v>553</v>
      </c>
      <c r="F78" s="95">
        <f>MAX(F73 - F69, 0)</f>
        <v>450.2</v>
      </c>
      <c r="G78" s="95">
        <f>MAX(G73 - G69, 0)</f>
        <v>508.31666666666661</v>
      </c>
      <c r="J78" s="88"/>
      <c r="K78" s="88"/>
    </row>
    <row r="79" spans="2:12" x14ac:dyDescent="0.35">
      <c r="B79" s="120" t="s">
        <v>60</v>
      </c>
      <c r="C79" s="96">
        <f>C78*C77</f>
        <v>3410084.841889692</v>
      </c>
      <c r="D79" s="96">
        <f>D78*D77</f>
        <v>4614530.5055249995</v>
      </c>
      <c r="E79" s="96">
        <f>E78*E77</f>
        <v>4614530.5055249995</v>
      </c>
      <c r="F79" s="96">
        <f>F78*F77</f>
        <v>3765782.4051905964</v>
      </c>
      <c r="G79" s="96">
        <f>G78*G77</f>
        <v>4256451.9892787971</v>
      </c>
      <c r="J79" s="88"/>
      <c r="K79" s="88"/>
      <c r="L79" t="s">
        <v>61</v>
      </c>
    </row>
    <row r="80" spans="2:12" x14ac:dyDescent="0.35">
      <c r="B80" s="122" t="s">
        <v>62</v>
      </c>
      <c r="C80" s="95">
        <f>C69</f>
        <v>0</v>
      </c>
      <c r="D80" s="95">
        <f>D69</f>
        <v>0</v>
      </c>
      <c r="E80" s="95">
        <f>E69</f>
        <v>50</v>
      </c>
      <c r="F80" s="95">
        <f>F69</f>
        <v>16.666666666666686</v>
      </c>
      <c r="G80" s="95">
        <f>G69</f>
        <v>17</v>
      </c>
      <c r="J80" s="88"/>
      <c r="K80" s="88"/>
    </row>
    <row r="81" spans="2:12" x14ac:dyDescent="0.35">
      <c r="B81" s="123" t="s">
        <v>63</v>
      </c>
      <c r="C81" s="85">
        <f>Parameters_Public!$C$43</f>
        <v>0.6</v>
      </c>
      <c r="D81" s="85">
        <f>Parameters_Public!$C$43</f>
        <v>0.6</v>
      </c>
      <c r="E81" s="85">
        <f>Parameters_Public!$C$43</f>
        <v>0.6</v>
      </c>
      <c r="F81" s="85">
        <f>Parameters_Public!$C$43</f>
        <v>0.6</v>
      </c>
      <c r="G81" s="85">
        <f>Parameters_Public!$C$43</f>
        <v>0.6</v>
      </c>
      <c r="J81" s="88" t="s">
        <v>46</v>
      </c>
      <c r="K81" s="88"/>
      <c r="L81" t="s">
        <v>64</v>
      </c>
    </row>
    <row r="82" spans="2:12" x14ac:dyDescent="0.35">
      <c r="B82" s="122" t="s">
        <v>65</v>
      </c>
      <c r="C82" s="96">
        <f>IFERROR((C77*C81), "N/A")</f>
        <v>5042.0180018083174</v>
      </c>
      <c r="D82" s="96">
        <f>IFERROR((D77*D81), "N/A")</f>
        <v>5006.7238757956593</v>
      </c>
      <c r="E82" s="96">
        <f>IFERROR((E77*E81), "N/A")</f>
        <v>5006.7238757956593</v>
      </c>
      <c r="F82" s="96">
        <f>IFERROR((F77*F81), "N/A")</f>
        <v>5018.812623532559</v>
      </c>
      <c r="G82" s="96">
        <f>IFERROR((G77*G81), "N/A")</f>
        <v>5024.1736323825926</v>
      </c>
      <c r="J82" s="88"/>
      <c r="K82" s="88"/>
      <c r="L82" t="s">
        <v>66</v>
      </c>
    </row>
    <row r="83" spans="2:12" x14ac:dyDescent="0.35">
      <c r="B83" s="122" t="s">
        <v>67</v>
      </c>
      <c r="C83" s="96" t="str">
        <f>"$"&amp;YearMap!$E$2*Parameters_Public!$C$47&amp;"/student"</f>
        <v>$200/student</v>
      </c>
      <c r="D83" s="96" t="str">
        <f>"$"&amp;YearMap!$E$2*Parameters_Public!$C$47&amp;"/student"</f>
        <v>$200/student</v>
      </c>
      <c r="E83" s="96" t="str">
        <f>"$"&amp;YearMap!$E$2*Parameters_Public!$C$47&amp;"/student"</f>
        <v>$200/student</v>
      </c>
      <c r="F83" s="96" t="str">
        <f>"$"&amp;YearMap!$E$2*Parameters_Public!$C$47&amp;"/student"</f>
        <v>$200/student</v>
      </c>
      <c r="G83" s="96" t="str">
        <f>"$"&amp;YearMap!$E$2*Parameters_Public!$C$47&amp;"/student"</f>
        <v>$200/student</v>
      </c>
      <c r="J83" s="88"/>
      <c r="K83" s="88"/>
      <c r="L83" t="s">
        <v>68</v>
      </c>
    </row>
    <row r="84" spans="2:12" x14ac:dyDescent="0.35">
      <c r="B84" s="122" t="s">
        <v>98</v>
      </c>
      <c r="C84" s="115">
        <f>BaselineCalc!$B$18*(1-BaselineCalc!$B$5)*Parameters_Public!$C$43+YearMap!$Q$2</f>
        <v>5206.7238757956593</v>
      </c>
      <c r="D84" s="115">
        <f>BaselineCalc!$B$18*(1-BaselineCalc!$B$5)*Parameters_Public!$C$43+YearMap!$Q$2</f>
        <v>5206.7238757956593</v>
      </c>
      <c r="E84" s="115">
        <f>BaselineCalc!$B$18*(1-BaselineCalc!$B$5)*Parameters_Public!$C$43+YearMap!$Q$2</f>
        <v>5206.7238757956593</v>
      </c>
      <c r="F84" s="115">
        <f>BaselineCalc!$B$18*(1-BaselineCalc!$B$5)*Parameters_Public!$C$43+YearMap!$Q$2</f>
        <v>5206.7238757956593</v>
      </c>
      <c r="G84" s="115">
        <f>BaselineCalc!$B$18*(1-BaselineCalc!$B$5)*Parameters_Public!$C$43+YearMap!$Q$2</f>
        <v>5206.7238757956593</v>
      </c>
      <c r="J84" s="88"/>
      <c r="K84" s="88"/>
    </row>
    <row r="85" spans="2:12" x14ac:dyDescent="0.35">
      <c r="B85" s="120" t="s">
        <v>70</v>
      </c>
      <c r="C85" s="96" t="str">
        <f>IF(C84*C69=0, "N/A", C84*C69)</f>
        <v>N/A</v>
      </c>
      <c r="D85" s="96" t="str">
        <f>IF(D84*D69=0, "N/A", D84*D69)</f>
        <v>N/A</v>
      </c>
      <c r="E85" s="96">
        <f>IF(E84*E69=0, "N/A", E84*E69)</f>
        <v>260336.19378978296</v>
      </c>
      <c r="F85" s="96">
        <f>IF(F84*F69=0, "N/A", F84*F69)</f>
        <v>86778.731263261085</v>
      </c>
      <c r="G85" s="96">
        <f>IF(G84*G69=0, "N/A", G84*G69)</f>
        <v>88514.305888526214</v>
      </c>
      <c r="J85" s="88"/>
      <c r="K85" s="88"/>
    </row>
    <row r="86" spans="2:12" x14ac:dyDescent="0.35">
      <c r="B86" s="120" t="s">
        <v>71</v>
      </c>
      <c r="C86" s="115">
        <f>MultiYear_ProForma!$W$32 - (MultiYear_ProForma!$R$32+MultiYear_ProForma!$S$32) - C88</f>
        <v>3399994.9981396915</v>
      </c>
      <c r="D86" s="115">
        <f>MultiYear_ProForma!$W$62 - (MultiYear_ProForma!$R$62+MultiYear_ProForma!$S$62) - D88</f>
        <v>4601077.3805249995</v>
      </c>
      <c r="E86" s="115">
        <f>MultiYear_ProForma!$W$17 - (MultiYear_ProForma!$R$17+MultiYear_ProForma!$S$17) - E88</f>
        <v>5018304.370174638</v>
      </c>
      <c r="F86" s="115">
        <f>MultiYear_ProForma!$W$42 - (MultiYear_ProForma!$R$42+MultiYear_ProForma!$S$42) - F88</f>
        <v>3896570.9434071425</v>
      </c>
      <c r="G86" s="115">
        <f>MultiYear_ProForma!$W$52 - (MultiYear_ProForma!$R$52+MultiYear_ProForma!$S$52) - G88</f>
        <v>4390452.5407596743</v>
      </c>
      <c r="J86" s="88"/>
      <c r="K86" s="88"/>
    </row>
    <row r="87" spans="2:12" x14ac:dyDescent="0.35">
      <c r="B87" s="121" t="s">
        <v>72</v>
      </c>
      <c r="C87" s="85" t="str">
        <f>"$"&amp;YearMap!$E$2&amp;"/student"</f>
        <v>$1000/student</v>
      </c>
      <c r="D87" s="88" t="str">
        <f>"N/A"</f>
        <v>N/A</v>
      </c>
      <c r="E87" s="88" t="str">
        <f>"N/A"</f>
        <v>N/A</v>
      </c>
      <c r="F87" s="85" t="str">
        <f>"$"&amp;YearMap!$E$2&amp;"/student"</f>
        <v>$1000/student</v>
      </c>
      <c r="G87" s="85" t="str">
        <f>"$"&amp;YearMap!$E$2&amp;"/student"</f>
        <v>$1000/student</v>
      </c>
      <c r="J87" s="88" t="s">
        <v>46</v>
      </c>
      <c r="K87" s="88"/>
      <c r="L87" t="s">
        <v>73</v>
      </c>
    </row>
    <row r="88" spans="2:12" x14ac:dyDescent="0.35">
      <c r="B88" s="120" t="s">
        <v>99</v>
      </c>
      <c r="C88" s="115">
        <f>MultiYear_ProForma!$O$32*YearMap!$E$2</f>
        <v>405799.99999999994</v>
      </c>
      <c r="D88" s="88">
        <f>MultiYear_ProForma!$O$62*YearMap!$E$2</f>
        <v>0</v>
      </c>
      <c r="E88" s="88">
        <f>MultiYear_ProForma!$O$17*YearMap!$E$2</f>
        <v>0</v>
      </c>
      <c r="F88" s="115">
        <f>MultiYear_ProForma!$O$42*YearMap!$E$2</f>
        <v>154200</v>
      </c>
      <c r="G88" s="115">
        <f>MultiYear_ProForma!$O$52*YearMap!$E$2</f>
        <v>251316.66666666666</v>
      </c>
      <c r="J88" s="88"/>
      <c r="K88" s="88"/>
    </row>
    <row r="89" spans="2:12" x14ac:dyDescent="0.35">
      <c r="B89" s="120" t="s">
        <v>75</v>
      </c>
      <c r="C89" s="115">
        <f>C86+IF(ISNUMBER(C88),C88,0)</f>
        <v>3805794.9981396915</v>
      </c>
      <c r="D89" s="115">
        <f>D86+IF(ISNUMBER(D88),D88,0)</f>
        <v>4601077.3805249995</v>
      </c>
      <c r="E89" s="115">
        <f>E86+IF(ISNUMBER(E88),E88,0)</f>
        <v>5018304.370174638</v>
      </c>
      <c r="F89" s="115">
        <f>F86+IF(ISNUMBER(F88),F88,0)</f>
        <v>4050770.9434071425</v>
      </c>
      <c r="G89" s="115">
        <f>G86+IF(ISNUMBER(G88),G88,0)</f>
        <v>4641769.2074263413</v>
      </c>
      <c r="J89" s="88"/>
      <c r="K89" s="88"/>
    </row>
    <row r="90" spans="2:12" x14ac:dyDescent="0.35">
      <c r="B90" s="87" t="s">
        <v>76</v>
      </c>
      <c r="C90" s="96">
        <f>BaselineCalc!$B$19+BaselineCalc!$B$20</f>
        <v>1921874.9999999998</v>
      </c>
      <c r="D90" s="96">
        <f>BaselineCalc!$B$19+BaselineCalc!$B$20</f>
        <v>1921874.9999999998</v>
      </c>
      <c r="E90" s="96">
        <f>BaselineCalc!$B$19+BaselineCalc!$B$20</f>
        <v>1921874.9999999998</v>
      </c>
      <c r="F90" s="96">
        <f>BaselineCalc!$B$19+BaselineCalc!$B$20</f>
        <v>1921874.9999999998</v>
      </c>
      <c r="G90" s="96">
        <f>BaselineCalc!$B$19+BaselineCalc!$B$20</f>
        <v>1921874.9999999998</v>
      </c>
      <c r="J90" s="88" t="s">
        <v>44</v>
      </c>
      <c r="K90" s="88"/>
    </row>
    <row r="91" spans="2:12" x14ac:dyDescent="0.35">
      <c r="B91" s="122" t="s">
        <v>77</v>
      </c>
      <c r="C91" s="85">
        <f>YearMap!$F$2</f>
        <v>0.2</v>
      </c>
      <c r="D91" s="88" t="str">
        <f>"N/A"</f>
        <v>N/A</v>
      </c>
      <c r="E91" s="88" t="str">
        <f>"N/A"</f>
        <v>N/A</v>
      </c>
      <c r="F91" s="85">
        <f>YearMap!$F$2</f>
        <v>0.2</v>
      </c>
      <c r="G91" s="85">
        <f>YearMap!$F$2</f>
        <v>0.2</v>
      </c>
      <c r="J91" s="88" t="s">
        <v>46</v>
      </c>
      <c r="K91" s="88"/>
    </row>
    <row r="92" spans="2:12" x14ac:dyDescent="0.35">
      <c r="B92" s="120" t="s">
        <v>100</v>
      </c>
      <c r="C92" s="96">
        <f>MultiYear_ProForma!$R$32+MultiYear_ProForma!$S$32</f>
        <v>1441406.2499999998</v>
      </c>
      <c r="D92" s="96">
        <f>MultiYear_ProForma!$R$62+MultiYear_ProForma!$S$62</f>
        <v>1921874.9999999998</v>
      </c>
      <c r="E92" s="96">
        <f>MultiYear_ProForma!$R$17+MultiYear_ProForma!$S$17</f>
        <v>1921874.9999999998</v>
      </c>
      <c r="F92" s="96">
        <f>MultiYear_ProForma!$R$42+MultiYear_ProForma!$S$42</f>
        <v>1183875</v>
      </c>
      <c r="G92" s="96">
        <f>MultiYear_ProForma!$R$52+MultiYear_ProForma!$S$52</f>
        <v>1122375</v>
      </c>
      <c r="J92" s="88"/>
      <c r="K92" s="88"/>
    </row>
    <row r="93" spans="2:12" ht="15" customHeight="1" thickBot="1" x14ac:dyDescent="0.4">
      <c r="B93" s="87" t="s">
        <v>78</v>
      </c>
      <c r="C93" s="115">
        <f>C86+C88+C92</f>
        <v>5247201.2481396915</v>
      </c>
      <c r="D93" s="115">
        <f>D86+D88+D92</f>
        <v>6522952.3805249995</v>
      </c>
      <c r="E93" s="115">
        <f>E86+E88+E92</f>
        <v>6940179.370174638</v>
      </c>
      <c r="F93" s="115">
        <f>F86+F88+F92</f>
        <v>5234645.9434071425</v>
      </c>
      <c r="G93" s="115">
        <f>G86+G88+G92</f>
        <v>5764144.2074263413</v>
      </c>
      <c r="J93" s="88"/>
      <c r="K93" s="88"/>
    </row>
    <row r="94" spans="2:12" ht="15" customHeight="1" thickBot="1" x14ac:dyDescent="0.4">
      <c r="B94" s="126" t="s">
        <v>79</v>
      </c>
      <c r="C94" s="124">
        <f>MultiYear_ProForma!$AF$32</f>
        <v>-797624.53813969251</v>
      </c>
      <c r="D94" s="125">
        <f>MultiYear_ProForma!$AF$62</f>
        <v>-459335.03052499983</v>
      </c>
      <c r="E94" s="124">
        <f>MultiYear_ProForma!$AF$17</f>
        <v>-210423.72431478277</v>
      </c>
      <c r="F94" s="124">
        <f>MultiYear_ProForma!$AF$42</f>
        <v>-76179.354787189513</v>
      </c>
      <c r="G94" s="124">
        <f>MultiYear_ProForma!$AF$52</f>
        <v>36009.647332676686</v>
      </c>
      <c r="J94" s="88"/>
      <c r="K94" s="88"/>
    </row>
    <row r="96" spans="2:12" ht="15" customHeight="1" thickBot="1" x14ac:dyDescent="0.4"/>
    <row r="97" spans="2:12" ht="15" customHeight="1" thickBot="1" x14ac:dyDescent="0.4">
      <c r="B97" s="126" t="s">
        <v>101</v>
      </c>
      <c r="C97" s="128">
        <f>Capital_Summary!$H$34</f>
        <v>2714479.9999999995</v>
      </c>
      <c r="D97" s="128">
        <f>Capital_Summary!$H$64</f>
        <v>0</v>
      </c>
      <c r="E97" s="128">
        <f>Capital_Summary!$H$19</f>
        <v>1800000</v>
      </c>
      <c r="F97" s="128">
        <f>Capital_Summary!$H$44</f>
        <v>1600000</v>
      </c>
      <c r="G97" s="128">
        <f>Capital_Summary!$H$54</f>
        <v>1600000</v>
      </c>
    </row>
    <row r="98" spans="2:12" x14ac:dyDescent="0.35">
      <c r="B98" s="99"/>
      <c r="C98" s="130"/>
      <c r="D98" s="130"/>
      <c r="E98" s="130"/>
      <c r="F98" s="130"/>
      <c r="G98" s="130"/>
    </row>
    <row r="99" spans="2:12" x14ac:dyDescent="0.35">
      <c r="B99" s="99"/>
      <c r="C99" s="130"/>
      <c r="D99" s="130"/>
      <c r="E99" s="130"/>
      <c r="F99" s="130"/>
      <c r="G99" s="130"/>
    </row>
    <row r="100" spans="2:12" x14ac:dyDescent="0.35">
      <c r="B100" s="99"/>
      <c r="C100" s="130"/>
      <c r="D100" s="130"/>
      <c r="E100" s="130"/>
      <c r="F100" s="130"/>
      <c r="G100" s="130"/>
    </row>
    <row r="101" spans="2:12" x14ac:dyDescent="0.35">
      <c r="B101" s="99" t="s">
        <v>102</v>
      </c>
      <c r="C101" s="116" t="s">
        <v>85</v>
      </c>
      <c r="D101" s="116" t="s">
        <v>26</v>
      </c>
      <c r="E101" s="116" t="s">
        <v>25</v>
      </c>
      <c r="F101" s="116" t="s">
        <v>86</v>
      </c>
      <c r="G101" s="116" t="s">
        <v>87</v>
      </c>
    </row>
    <row r="102" spans="2:12" ht="39" customHeight="1" x14ac:dyDescent="0.35">
      <c r="C102" s="119" t="s">
        <v>88</v>
      </c>
      <c r="D102" s="119" t="s">
        <v>89</v>
      </c>
      <c r="E102" s="119" t="s">
        <v>90</v>
      </c>
      <c r="F102" s="119" t="s">
        <v>91</v>
      </c>
      <c r="G102" s="119" t="s">
        <v>92</v>
      </c>
      <c r="J102" s="114" t="s">
        <v>32</v>
      </c>
      <c r="K102" s="114" t="s">
        <v>33</v>
      </c>
      <c r="L102" s="119" t="s">
        <v>93</v>
      </c>
    </row>
    <row r="103" spans="2:12" x14ac:dyDescent="0.35">
      <c r="B103" s="121" t="s">
        <v>36</v>
      </c>
      <c r="C103" s="88">
        <f>Parameters_Public!$C$10</f>
        <v>257</v>
      </c>
      <c r="D103" s="88">
        <f>Parameters_Public!$C$10</f>
        <v>257</v>
      </c>
      <c r="E103" s="88">
        <f>Parameters_Public!$C$10</f>
        <v>257</v>
      </c>
      <c r="F103" s="88">
        <f>Parameters_Public!$C$10</f>
        <v>257</v>
      </c>
      <c r="G103" s="88">
        <f>Parameters_Public!$C$10</f>
        <v>257</v>
      </c>
      <c r="J103" s="88" t="s">
        <v>37</v>
      </c>
      <c r="K103" s="88"/>
    </row>
    <row r="104" spans="2:12" x14ac:dyDescent="0.35">
      <c r="B104" s="122" t="s">
        <v>39</v>
      </c>
      <c r="C104" s="88">
        <f>Parameters_Public!$C$11</f>
        <v>296</v>
      </c>
      <c r="D104" s="88">
        <f>Parameters_Public!$C$11</f>
        <v>296</v>
      </c>
      <c r="E104" s="88">
        <f>Parameters_Public!$C$11</f>
        <v>296</v>
      </c>
      <c r="F104" s="88">
        <f>Parameters_Public!$C$11</f>
        <v>296</v>
      </c>
      <c r="G104" s="88">
        <f>Parameters_Public!$C$11</f>
        <v>296</v>
      </c>
      <c r="J104" s="88"/>
      <c r="K104" s="88"/>
    </row>
    <row r="105" spans="2:12" x14ac:dyDescent="0.35">
      <c r="B105" s="122" t="s">
        <v>103</v>
      </c>
      <c r="C105" s="88">
        <f>MultiYear_ProForma!$AB$36</f>
        <v>0</v>
      </c>
      <c r="D105" s="88">
        <f>MultiYear_ProForma!$AB$66</f>
        <v>0</v>
      </c>
      <c r="E105" s="95">
        <f>MultiYear_ProForma!$AB$21</f>
        <v>150</v>
      </c>
      <c r="F105" s="95">
        <f>MultiYear_ProForma!$AB$46</f>
        <v>50</v>
      </c>
      <c r="G105" s="95">
        <f>MultiYear_ProForma!$AB$56</f>
        <v>50</v>
      </c>
      <c r="J105" s="88"/>
      <c r="K105" s="88"/>
    </row>
    <row r="106" spans="2:12" x14ac:dyDescent="0.35">
      <c r="B106" s="121" t="s">
        <v>43</v>
      </c>
      <c r="C106" s="88">
        <f>Parameters_Public!$C$23</f>
        <v>0.6</v>
      </c>
      <c r="D106" s="88" t="str">
        <f>"N/A"</f>
        <v>N/A</v>
      </c>
      <c r="E106" s="88" t="str">
        <f>"N/A"</f>
        <v>N/A</v>
      </c>
      <c r="F106" s="88">
        <f>Parameters_Public!$C$23</f>
        <v>0.6</v>
      </c>
      <c r="G106" s="88" t="str">
        <f>"N/A"</f>
        <v>N/A</v>
      </c>
      <c r="J106" s="88" t="s">
        <v>44</v>
      </c>
      <c r="K106" s="88"/>
    </row>
    <row r="107" spans="2:12" x14ac:dyDescent="0.35">
      <c r="B107" s="121" t="s">
        <v>45</v>
      </c>
      <c r="C107" s="88">
        <f>Parameters_Public!$C$24</f>
        <v>0.85</v>
      </c>
      <c r="D107" s="88" t="str">
        <f>"N/A"</f>
        <v>N/A</v>
      </c>
      <c r="E107" s="88" t="str">
        <f>"N/A"</f>
        <v>N/A</v>
      </c>
      <c r="F107" s="88" t="str">
        <f>"N/A"</f>
        <v>N/A</v>
      </c>
      <c r="G107" s="88">
        <f>Parameters_Public!$C$24</f>
        <v>0.85</v>
      </c>
      <c r="J107" s="88" t="s">
        <v>46</v>
      </c>
      <c r="K107" s="88"/>
    </row>
    <row r="108" spans="2:12" x14ac:dyDescent="0.35">
      <c r="B108" s="122" t="s">
        <v>47</v>
      </c>
      <c r="C108" s="95">
        <f>MultiYear_ProForma!$O$36</f>
        <v>405.79999999999995</v>
      </c>
      <c r="D108" s="88">
        <f>MultiYear_ProForma!$O$66</f>
        <v>0</v>
      </c>
      <c r="E108" s="88">
        <f>MultiYear_ProForma!$O$21</f>
        <v>0</v>
      </c>
      <c r="F108" s="95">
        <f>MultiYear_ProForma!$O$46</f>
        <v>154.19999999999999</v>
      </c>
      <c r="G108" s="95">
        <f>MultiYear_ProForma!$O$56</f>
        <v>251.6</v>
      </c>
      <c r="J108" s="88"/>
      <c r="K108" s="88"/>
    </row>
    <row r="109" spans="2:12" x14ac:dyDescent="0.35">
      <c r="B109" s="122" t="s">
        <v>104</v>
      </c>
      <c r="C109" s="95">
        <f>C108+C105</f>
        <v>405.79999999999995</v>
      </c>
      <c r="D109" s="88">
        <f>D104+D103+D105</f>
        <v>553</v>
      </c>
      <c r="E109" s="88">
        <f>E105+E104+E103</f>
        <v>703</v>
      </c>
      <c r="F109" s="95">
        <f>F104+F108+F105</f>
        <v>500.2</v>
      </c>
      <c r="G109" s="95">
        <f>G108+G103+G105</f>
        <v>558.6</v>
      </c>
      <c r="J109" s="88"/>
      <c r="K109" s="88"/>
    </row>
    <row r="110" spans="2:12" x14ac:dyDescent="0.35">
      <c r="B110" s="120" t="s">
        <v>94</v>
      </c>
      <c r="C110" s="96">
        <f>MultiYear_ProForma!$AD$36/Dashboard!C109</f>
        <v>12103.253155058594</v>
      </c>
      <c r="D110" s="96">
        <f>MultiYear_ProForma!$AD$66/Dashboard!D109</f>
        <v>11163.655342645587</v>
      </c>
      <c r="E110" s="96">
        <f>MultiYear_ProForma!$AD$21/Dashboard!E109</f>
        <v>11919.546031014317</v>
      </c>
      <c r="F110" s="96">
        <f>MultiYear_ProForma!$AD$46/Dashboard!F109</f>
        <v>12017.19017478195</v>
      </c>
      <c r="G110" s="96">
        <f>MultiYear_ProForma!$AD$56/Dashboard!G109</f>
        <v>12026.187808237297</v>
      </c>
      <c r="J110" s="88"/>
      <c r="K110" s="88"/>
      <c r="L110" t="s">
        <v>95</v>
      </c>
    </row>
    <row r="111" spans="2:12" x14ac:dyDescent="0.35">
      <c r="B111" s="87" t="s">
        <v>52</v>
      </c>
      <c r="C111" s="96">
        <f>MultiYear_ProForma!$AD$36</f>
        <v>4911500.1303227767</v>
      </c>
      <c r="D111" s="96">
        <f>MultiYear_ProForma!$AD$66</f>
        <v>6173501.4044830091</v>
      </c>
      <c r="E111" s="96">
        <f>MultiYear_ProForma!$AD$21</f>
        <v>8379440.8598030647</v>
      </c>
      <c r="F111" s="96">
        <f>MultiYear_ProForma!$AD$46</f>
        <v>6010998.5254259314</v>
      </c>
      <c r="G111" s="96">
        <f>MultiYear_ProForma!$AD$56</f>
        <v>6717828.5096813543</v>
      </c>
      <c r="J111" s="88"/>
      <c r="K111" s="88"/>
    </row>
    <row r="112" spans="2:12" x14ac:dyDescent="0.35">
      <c r="B112" s="122" t="s">
        <v>54</v>
      </c>
      <c r="C112" s="96">
        <f>Parameters_Public!$C$14</f>
        <v>11589</v>
      </c>
      <c r="D112" s="96">
        <f>Parameters_Public!$C$14</f>
        <v>11589</v>
      </c>
      <c r="E112" s="96">
        <f>Parameters_Public!$C$14</f>
        <v>11589</v>
      </c>
      <c r="F112" s="96">
        <f>Parameters_Public!$C$14</f>
        <v>11589</v>
      </c>
      <c r="G112" s="96">
        <f>Parameters_Public!$C$14</f>
        <v>11589</v>
      </c>
      <c r="J112" s="88"/>
      <c r="K112" s="88"/>
      <c r="L112" t="s">
        <v>96</v>
      </c>
    </row>
    <row r="113" spans="2:12" x14ac:dyDescent="0.35">
      <c r="B113" s="122" t="s">
        <v>97</v>
      </c>
      <c r="C113" s="96">
        <f>IF(C114=0,0,(C108/C114)*MultiYear_ProForma!$G$36+((C114-C108)/C114)*(MultiYear_ProForma!$G$36*(1-BaselineCalc!$B$5)))</f>
        <v>9275.7407752655399</v>
      </c>
      <c r="D113" s="96">
        <f>IF(D114=0,0,(D108/D114)*MultiYear_ProForma!$G$66+((D114-D108)/D114)*(MultiYear_ProForma!$G$66*(1-BaselineCalc!$B$5)))</f>
        <v>9210.8105898386802</v>
      </c>
      <c r="E113" s="96">
        <f>IF(E114=0,0,(E108/E114)*MultiYear_ProForma!$G$21+((E114-E108)/E114)*(MultiYear_ProForma!$G$21*(1-BaselineCalc!$B$5)))</f>
        <v>9210.8105898386802</v>
      </c>
      <c r="F113" s="96">
        <f>IF(F114=0,0,(F108/F114)*MultiYear_ProForma!$G$46+((F114-F108)/F114)*(MultiYear_ProForma!$G$46*(1-BaselineCalc!$B$5)))</f>
        <v>9233.0501158111856</v>
      </c>
      <c r="G113" s="96">
        <f>IF(G114=0,0,(G108/G114)*MultiYear_ProForma!$G$56+((G114-G108)/G114)*(MultiYear_ProForma!$G$56*(1-BaselineCalc!$B$5)))</f>
        <v>9242.930988292077</v>
      </c>
      <c r="J113" s="88"/>
      <c r="K113" s="88"/>
    </row>
    <row r="114" spans="2:12" x14ac:dyDescent="0.35">
      <c r="B114" s="122" t="s">
        <v>58</v>
      </c>
      <c r="C114" s="95">
        <f>MAX(C109 - C105, 0)</f>
        <v>405.79999999999995</v>
      </c>
      <c r="D114" s="95">
        <f>MAX(D109 - D105, 0)</f>
        <v>553</v>
      </c>
      <c r="E114" s="95">
        <f>MAX(E109 - E105, 0)</f>
        <v>553</v>
      </c>
      <c r="F114" s="95">
        <f>MAX(F109 - F105, 0)</f>
        <v>450.2</v>
      </c>
      <c r="G114" s="95">
        <f>MAX(G109 - G105, 0)</f>
        <v>508.6</v>
      </c>
      <c r="J114" s="88"/>
      <c r="K114" s="88"/>
    </row>
    <row r="115" spans="2:12" x14ac:dyDescent="0.35">
      <c r="B115" s="120" t="s">
        <v>60</v>
      </c>
      <c r="C115" s="96">
        <f>C114*C113</f>
        <v>3764095.6066027558</v>
      </c>
      <c r="D115" s="96">
        <f>D114*D113</f>
        <v>5093578.2561807903</v>
      </c>
      <c r="E115" s="96">
        <f>E114*E113</f>
        <v>5093578.2561807903</v>
      </c>
      <c r="F115" s="96">
        <f>F114*F113</f>
        <v>4156719.1621381957</v>
      </c>
      <c r="G115" s="96">
        <f>G114*G113</f>
        <v>4700954.7006453509</v>
      </c>
      <c r="J115" s="88"/>
      <c r="K115" s="88"/>
      <c r="L115" t="s">
        <v>61</v>
      </c>
    </row>
    <row r="116" spans="2:12" x14ac:dyDescent="0.35">
      <c r="B116" s="122" t="s">
        <v>62</v>
      </c>
      <c r="C116" s="95">
        <f>C105</f>
        <v>0</v>
      </c>
      <c r="D116" s="95">
        <f>D105</f>
        <v>0</v>
      </c>
      <c r="E116" s="95">
        <f>E105</f>
        <v>150</v>
      </c>
      <c r="F116" s="95">
        <f>F105</f>
        <v>50</v>
      </c>
      <c r="G116" s="95">
        <f>G105</f>
        <v>50</v>
      </c>
      <c r="J116" s="88"/>
      <c r="K116" s="88"/>
    </row>
    <row r="117" spans="2:12" x14ac:dyDescent="0.35">
      <c r="B117" s="123" t="s">
        <v>63</v>
      </c>
      <c r="C117" s="85">
        <f>Parameters_Public!$C$43</f>
        <v>0.6</v>
      </c>
      <c r="D117" s="85">
        <f>Parameters_Public!$C$43</f>
        <v>0.6</v>
      </c>
      <c r="E117" s="85">
        <f>Parameters_Public!$C$43</f>
        <v>0.6</v>
      </c>
      <c r="F117" s="85">
        <f>Parameters_Public!$C$43</f>
        <v>0.6</v>
      </c>
      <c r="G117" s="85">
        <f>Parameters_Public!$C$43</f>
        <v>0.6</v>
      </c>
      <c r="J117" s="88" t="s">
        <v>46</v>
      </c>
      <c r="K117" s="88"/>
      <c r="L117" t="s">
        <v>64</v>
      </c>
    </row>
    <row r="118" spans="2:12" x14ac:dyDescent="0.35">
      <c r="B118" s="122" t="s">
        <v>65</v>
      </c>
      <c r="C118" s="96">
        <f>IFERROR((C113*C117), "N/A")</f>
        <v>5565.444465159324</v>
      </c>
      <c r="D118" s="96">
        <f>IFERROR((D113*D117), "N/A")</f>
        <v>5526.4863539032076</v>
      </c>
      <c r="E118" s="96">
        <f>IFERROR((E113*E117), "N/A")</f>
        <v>5526.4863539032076</v>
      </c>
      <c r="F118" s="96">
        <f>IFERROR((F113*F117), "N/A")</f>
        <v>5539.8300694867112</v>
      </c>
      <c r="G118" s="96">
        <f>IFERROR((G113*G117), "N/A")</f>
        <v>5545.7585929752458</v>
      </c>
      <c r="J118" s="88"/>
      <c r="K118" s="88"/>
      <c r="L118" t="s">
        <v>66</v>
      </c>
    </row>
    <row r="119" spans="2:12" x14ac:dyDescent="0.35">
      <c r="B119" s="122" t="s">
        <v>67</v>
      </c>
      <c r="C119" s="96" t="str">
        <f>"$"&amp;YearMap!$E$2*Parameters_Public!$C$47&amp;"/student"</f>
        <v>$200/student</v>
      </c>
      <c r="D119" s="96" t="str">
        <f>"$"&amp;YearMap!$E$2*Parameters_Public!$C$47&amp;"/student"</f>
        <v>$200/student</v>
      </c>
      <c r="E119" s="96" t="str">
        <f>"$"&amp;YearMap!$E$2*Parameters_Public!$C$47&amp;"/student"</f>
        <v>$200/student</v>
      </c>
      <c r="F119" s="96" t="str">
        <f>"$"&amp;YearMap!$E$2*Parameters_Public!$C$47&amp;"/student"</f>
        <v>$200/student</v>
      </c>
      <c r="G119" s="96" t="str">
        <f>"$"&amp;YearMap!$E$2*Parameters_Public!$C$47&amp;"/student"</f>
        <v>$200/student</v>
      </c>
      <c r="J119" s="88"/>
      <c r="K119" s="88"/>
      <c r="L119" t="s">
        <v>68</v>
      </c>
    </row>
    <row r="120" spans="2:12" x14ac:dyDescent="0.35">
      <c r="B120" s="122" t="s">
        <v>98</v>
      </c>
      <c r="C120" s="115">
        <f>MultiYear_ProForma!$G$36*(1-BaselineCalc!$B$5)*Parameters_Public!$C$43+YearMap!$Q$6</f>
        <v>5586.4863539032076</v>
      </c>
      <c r="D120" s="115">
        <f>MultiYear_ProForma!$G$66*(1-BaselineCalc!$B$5)*Parameters_Public!$C$43+YearMap!$Q$6</f>
        <v>5586.4863539032076</v>
      </c>
      <c r="E120" s="115">
        <f>MultiYear_ProForma!$G$21*(1-BaselineCalc!$B$5)*Parameters_Public!$C$43+YearMap!$Q$6</f>
        <v>5586.4863539032076</v>
      </c>
      <c r="F120" s="115">
        <f>MultiYear_ProForma!$G$46*(1-BaselineCalc!$B$5)*Parameters_Public!$C$43+YearMap!$Q$6</f>
        <v>5586.4863539032076</v>
      </c>
      <c r="G120" s="115">
        <f>MultiYear_ProForma!$G$56*(1-BaselineCalc!$B$5)*Parameters_Public!$C$43+YearMap!$Q$6</f>
        <v>5586.4863539032076</v>
      </c>
      <c r="J120" s="88"/>
      <c r="K120" s="88"/>
    </row>
    <row r="121" spans="2:12" x14ac:dyDescent="0.35">
      <c r="B121" s="120" t="s">
        <v>70</v>
      </c>
      <c r="C121" s="96" t="str">
        <f>IF(C120*C116=0,"N/A",C120*C116)</f>
        <v>N/A</v>
      </c>
      <c r="D121" s="96" t="str">
        <f>IF(D120*D116=0,"N/A",D120*D116)</f>
        <v>N/A</v>
      </c>
      <c r="E121" s="96">
        <f>IF(E120*E116=0,"N/A",E120*E116)</f>
        <v>837972.95308548119</v>
      </c>
      <c r="F121" s="96">
        <f>IF(F120*F116=0,"N/A",F120*F116)</f>
        <v>279324.3176951604</v>
      </c>
      <c r="G121" s="96">
        <f>IF(G120*G116=0,"N/A",G120*G116)</f>
        <v>279324.3176951604</v>
      </c>
      <c r="J121" s="88"/>
      <c r="K121" s="88"/>
    </row>
    <row r="122" spans="2:12" x14ac:dyDescent="0.35">
      <c r="B122" s="120" t="s">
        <v>71</v>
      </c>
      <c r="C122" s="115">
        <f>MultiYear_ProForma!$W$36 - (MultiYear_ProForma!$R$36+MultiYear_ProForma!$S$36) - C124</f>
        <v>3755185.766926242</v>
      </c>
      <c r="D122" s="115">
        <f>MultiYear_ProForma!$W$66 - (MultiYear_ProForma!$R$66+MultiYear_ProForma!$S$66) - D124</f>
        <v>4683304.6711752955</v>
      </c>
      <c r="E122" s="115">
        <f>MultiYear_ProForma!$W$21 - (MultiYear_ProForma!$R$21+MultiYear_ProForma!$S$21) - E124</f>
        <v>6460350.1118624024</v>
      </c>
      <c r="F122" s="115">
        <f>MultiYear_ProForma!$W$46 - (MultiYear_ProForma!$R$46+MultiYear_ProForma!$S$46) - F124</f>
        <v>4608621.0676881932</v>
      </c>
      <c r="G122" s="115">
        <f>MultiYear_ProForma!$W$56 - (MultiYear_ProForma!$R$56+MultiYear_ProForma!$S$56) - G124</f>
        <v>5153799.1480056131</v>
      </c>
      <c r="J122" s="88"/>
      <c r="K122" s="88"/>
    </row>
    <row r="123" spans="2:12" x14ac:dyDescent="0.35">
      <c r="B123" s="121" t="s">
        <v>105</v>
      </c>
      <c r="C123" s="85" t="str">
        <f>"$"&amp;YearMap!$E$2&amp;"/student"</f>
        <v>$1000/student</v>
      </c>
      <c r="D123" s="88" t="str">
        <f>"N/A"</f>
        <v>N/A</v>
      </c>
      <c r="E123" s="88" t="str">
        <f>"N/A"</f>
        <v>N/A</v>
      </c>
      <c r="F123" s="85" t="str">
        <f>"$"&amp;YearMap!$E$2&amp;"/student"</f>
        <v>$1000/student</v>
      </c>
      <c r="G123" s="85" t="str">
        <f>"$"&amp;YearMap!$E$2&amp;"/student"</f>
        <v>$1000/student</v>
      </c>
      <c r="J123" s="88" t="s">
        <v>46</v>
      </c>
      <c r="K123" s="88"/>
      <c r="L123" t="s">
        <v>73</v>
      </c>
    </row>
    <row r="124" spans="2:12" x14ac:dyDescent="0.35">
      <c r="B124" s="120" t="s">
        <v>106</v>
      </c>
      <c r="C124" s="115">
        <f>MultiYear_ProForma!$O$36*YearMap!$E$6</f>
        <v>121739.99999999999</v>
      </c>
      <c r="D124" s="115">
        <f>MultiYear_ProForma!$O$66*YearMap!$E$6</f>
        <v>0</v>
      </c>
      <c r="E124" s="115">
        <f>MultiYear_ProForma!$O$21*YearMap!$E$6</f>
        <v>0</v>
      </c>
      <c r="F124" s="115">
        <f>MultiYear_ProForma!$O$46*YearMap!$E$6</f>
        <v>46260</v>
      </c>
      <c r="G124" s="115">
        <f>MultiYear_ProForma!$O$56*YearMap!$E$6</f>
        <v>75480</v>
      </c>
      <c r="J124" s="88"/>
      <c r="K124" s="88"/>
    </row>
    <row r="125" spans="2:12" x14ac:dyDescent="0.35">
      <c r="B125" s="120" t="s">
        <v>75</v>
      </c>
      <c r="C125" s="115">
        <f>C122+IF(ISNUMBER(C124),C124,0)</f>
        <v>3876925.766926242</v>
      </c>
      <c r="D125" s="115">
        <f>D122+IF(ISNUMBER(D124),D124,0)</f>
        <v>4683304.6711752955</v>
      </c>
      <c r="E125" s="115">
        <f>E122+IF(ISNUMBER(E124),E124,0)</f>
        <v>6460350.1118624024</v>
      </c>
      <c r="F125" s="115">
        <f>F122+IF(ISNUMBER(F124),F124,0)</f>
        <v>4654881.0676881932</v>
      </c>
      <c r="G125" s="115">
        <f>G122+IF(ISNUMBER(G124),G124,0)</f>
        <v>5229279.1480056131</v>
      </c>
      <c r="J125" s="88"/>
      <c r="K125" s="88"/>
    </row>
    <row r="126" spans="2:12" x14ac:dyDescent="0.35">
      <c r="B126" s="87" t="s">
        <v>76</v>
      </c>
      <c r="C126" s="96">
        <f>BaselineCalc!$F$19+BaselineCalc!$F$20</f>
        <v>2121390.3991699214</v>
      </c>
      <c r="D126" s="96">
        <f>BaselineCalc!$F$19+BaselineCalc!$F$20</f>
        <v>2121390.3991699214</v>
      </c>
      <c r="E126" s="96">
        <f>BaselineCalc!$F$19+BaselineCalc!$F$20</f>
        <v>2121390.3991699214</v>
      </c>
      <c r="F126" s="96">
        <f>BaselineCalc!$F$19+BaselineCalc!$F$20</f>
        <v>2121390.3991699214</v>
      </c>
      <c r="G126" s="96">
        <f>BaselineCalc!$F$19+BaselineCalc!$F$20</f>
        <v>2121390.3991699214</v>
      </c>
      <c r="J126" s="88" t="s">
        <v>44</v>
      </c>
      <c r="K126" s="88"/>
    </row>
    <row r="127" spans="2:12" x14ac:dyDescent="0.35">
      <c r="B127" s="122" t="s">
        <v>77</v>
      </c>
      <c r="C127" s="85">
        <f>YearMap!$F$6</f>
        <v>0.1</v>
      </c>
      <c r="D127" s="88" t="str">
        <f>"N/A"</f>
        <v>N/A</v>
      </c>
      <c r="E127" s="88" t="str">
        <f>"N/A"</f>
        <v>N/A</v>
      </c>
      <c r="F127" s="85">
        <f>YearMap!$F$6</f>
        <v>0.1</v>
      </c>
      <c r="G127" s="85">
        <f>YearMap!$F$6</f>
        <v>0.1</v>
      </c>
      <c r="J127" s="88" t="s">
        <v>46</v>
      </c>
      <c r="K127" s="88"/>
    </row>
    <row r="128" spans="2:12" x14ac:dyDescent="0.35">
      <c r="B128" s="120" t="s">
        <v>100</v>
      </c>
      <c r="C128" s="96">
        <f>MultiYear_ProForma!$R$36+MultiYear_ProForma!$S$36</f>
        <v>1272834.2395019529</v>
      </c>
      <c r="D128" s="96">
        <f>MultiYear_ProForma!$R$66+MultiYear_ProForma!$S$66</f>
        <v>2121390.3991699214</v>
      </c>
      <c r="E128" s="96">
        <f>MultiYear_ProForma!$R$21+MultiYear_ProForma!$S$21</f>
        <v>2121390.3991699214</v>
      </c>
      <c r="F128" s="96">
        <f>MultiYear_ProForma!$R$46+MultiYear_ProForma!$S$46</f>
        <v>1234089.1345623212</v>
      </c>
      <c r="G128" s="96">
        <f>MultiYear_ProForma!$R$56+MultiYear_ProForma!$S$56</f>
        <v>1099440.3045245921</v>
      </c>
      <c r="J128" s="88"/>
      <c r="K128" s="88"/>
    </row>
    <row r="129" spans="2:11" ht="15" customHeight="1" thickBot="1" x14ac:dyDescent="0.4">
      <c r="B129" s="87" t="s">
        <v>78</v>
      </c>
      <c r="C129" s="115">
        <f>C122+C124+C128</f>
        <v>5149760.0064281952</v>
      </c>
      <c r="D129" s="115">
        <f>D122+D124+D128</f>
        <v>6804695.0703452174</v>
      </c>
      <c r="E129" s="115">
        <f>E122+E124+E128</f>
        <v>8581740.5110323243</v>
      </c>
      <c r="F129" s="115">
        <f>F122+F124+F128</f>
        <v>5888970.2022505142</v>
      </c>
      <c r="G129" s="115">
        <f>G122+G124+G128</f>
        <v>6328719.4525302052</v>
      </c>
      <c r="J129" s="88"/>
      <c r="K129" s="88"/>
    </row>
    <row r="130" spans="2:11" ht="15" customHeight="1" thickBot="1" x14ac:dyDescent="0.4">
      <c r="B130" s="126" t="s">
        <v>107</v>
      </c>
      <c r="C130" s="124">
        <f>MultiYear_ProForma!$AF$36</f>
        <v>-238259.87610541843</v>
      </c>
      <c r="D130" s="125">
        <f>MultiYear_ProForma!$AF$66</f>
        <v>-631193.6658622073</v>
      </c>
      <c r="E130" s="124">
        <f>MultiYear_ProForma!$AF$21</f>
        <v>341348.98416106123</v>
      </c>
      <c r="F130" s="124">
        <f>MultiYear_ProForma!$AF$46</f>
        <v>303244.53497219086</v>
      </c>
      <c r="G130" s="124">
        <f>MultiYear_ProForma!$AF$56</f>
        <v>570325.26894792262</v>
      </c>
      <c r="J130" s="88"/>
      <c r="K130" s="88"/>
    </row>
    <row r="132" spans="2:11" ht="15" customHeight="1" thickBot="1" x14ac:dyDescent="0.4"/>
    <row r="133" spans="2:11" ht="15" customHeight="1" thickBot="1" x14ac:dyDescent="0.4">
      <c r="B133" s="126" t="s">
        <v>108</v>
      </c>
      <c r="C133" s="128">
        <f>Capital_Summary!$H$38</f>
        <v>0</v>
      </c>
      <c r="D133" s="128">
        <f>Capital_Summary!$H$64</f>
        <v>0</v>
      </c>
      <c r="E133" s="128">
        <f>Capital_Summary!$H$23</f>
        <v>0</v>
      </c>
      <c r="F133" s="128">
        <f>Capital_Summary!$H$48</f>
        <v>0</v>
      </c>
      <c r="G133" s="128">
        <f>Capital_Summary!$H$58</f>
        <v>0</v>
      </c>
    </row>
  </sheetData>
  <conditionalFormatting sqref="C133">
    <cfRule type="colorScale" priority="4">
      <colorScale>
        <cfvo type="min"/>
        <cfvo type="percentile" val="50"/>
        <cfvo type="max"/>
        <color rgb="FF63BE7B"/>
        <color rgb="FFFFEB84"/>
        <color rgb="FFF8696B"/>
      </colorScale>
    </cfRule>
  </conditionalFormatting>
  <conditionalFormatting sqref="C33:G33">
    <cfRule type="colorScale" priority="22">
      <colorScale>
        <cfvo type="min"/>
        <cfvo type="percentile" val="50"/>
        <cfvo type="max"/>
        <color rgb="FFF8696B"/>
        <color rgb="FFFFEB84"/>
        <color rgb="FF63BE7B"/>
      </colorScale>
    </cfRule>
  </conditionalFormatting>
  <conditionalFormatting sqref="C36:G36">
    <cfRule type="colorScale" priority="24">
      <colorScale>
        <cfvo type="min"/>
        <cfvo type="percentile" val="50"/>
        <cfvo type="max"/>
        <color rgb="FF63BE7B"/>
        <color rgb="FFFFEB84"/>
        <color rgb="FFF8696B"/>
      </colorScale>
    </cfRule>
  </conditionalFormatting>
  <conditionalFormatting sqref="C94:G94">
    <cfRule type="colorScale" priority="26">
      <colorScale>
        <cfvo type="min"/>
        <cfvo type="percentile" val="50"/>
        <cfvo type="max"/>
        <color rgb="FFF8696B"/>
        <color rgb="FFFFEB84"/>
        <color rgb="FF63BE7B"/>
      </colorScale>
    </cfRule>
  </conditionalFormatting>
  <conditionalFormatting sqref="C97:G100">
    <cfRule type="colorScale" priority="28">
      <colorScale>
        <cfvo type="min"/>
        <cfvo type="percentile" val="50"/>
        <cfvo type="max"/>
        <color rgb="FF63BE7B"/>
        <color rgb="FFFFEB84"/>
        <color rgb="FFF8696B"/>
      </colorScale>
    </cfRule>
  </conditionalFormatting>
  <conditionalFormatting sqref="C130:G130">
    <cfRule type="colorScale" priority="30">
      <colorScale>
        <cfvo type="min"/>
        <cfvo type="percentile" val="50"/>
        <cfvo type="max"/>
        <color rgb="FFF8696B"/>
        <color rgb="FFFFEB84"/>
        <color rgb="FF63BE7B"/>
      </colorScale>
    </cfRule>
  </conditionalFormatting>
  <conditionalFormatting sqref="D133">
    <cfRule type="colorScale" priority="1">
      <colorScale>
        <cfvo type="min"/>
        <cfvo type="percentile" val="50"/>
        <cfvo type="max"/>
        <color rgb="FF63BE7B"/>
        <color rgb="FFFFEB84"/>
        <color rgb="FFF8696B"/>
      </colorScale>
    </cfRule>
  </conditionalFormatting>
  <conditionalFormatting sqref="E133">
    <cfRule type="colorScale" priority="2">
      <colorScale>
        <cfvo type="min"/>
        <cfvo type="percentile" val="50"/>
        <cfvo type="max"/>
        <color rgb="FF63BE7B"/>
        <color rgb="FFFFEB84"/>
        <color rgb="FFF8696B"/>
      </colorScale>
    </cfRule>
  </conditionalFormatting>
  <conditionalFormatting sqref="F133">
    <cfRule type="colorScale" priority="6">
      <colorScale>
        <cfvo type="min"/>
        <cfvo type="percentile" val="50"/>
        <cfvo type="max"/>
        <color rgb="FF63BE7B"/>
        <color rgb="FFFFEB84"/>
        <color rgb="FFF8696B"/>
      </colorScale>
    </cfRule>
  </conditionalFormatting>
  <conditionalFormatting sqref="G133">
    <cfRule type="colorScale" priority="3">
      <colorScale>
        <cfvo type="min"/>
        <cfvo type="percentile" val="50"/>
        <cfvo type="max"/>
        <color rgb="FF63BE7B"/>
        <color rgb="FFFFEB84"/>
        <color rgb="FFF8696B"/>
      </colorScale>
    </cfRule>
  </conditionalFormatting>
  <dataValidations count="1">
    <dataValidation type="list" allowBlank="1" showInputMessage="1" showErrorMessage="1" sqref="C2:E2" xr:uid="{00000000-0002-0000-0300-000000000000}">
      <formula1>"2026, 2030"</formula1>
    </dataValidation>
  </dataValidations>
  <pageMargins left="0.7" right="0.7" top="0.75" bottom="0.75" header="0.3" footer="0.3"/>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3"/>
  <sheetViews>
    <sheetView zoomScale="80" zoomScaleNormal="80" workbookViewId="0">
      <pane ySplit="2" topLeftCell="A3" activePane="bottomLeft" state="frozen"/>
      <selection activeCell="B1" sqref="B1"/>
      <selection pane="bottomLeft" activeCell="C2" sqref="C2"/>
    </sheetView>
  </sheetViews>
  <sheetFormatPr defaultRowHeight="12.5" x14ac:dyDescent="0.25"/>
  <cols>
    <col min="1" max="1" width="21.26953125" style="87" customWidth="1"/>
    <col min="2" max="2" width="26.81640625" style="87" customWidth="1"/>
    <col min="3" max="8" width="14.6328125" style="87" customWidth="1"/>
    <col min="9" max="9" width="8.7265625" style="87" customWidth="1"/>
    <col min="10" max="10" width="26.81640625" style="87" customWidth="1"/>
    <col min="11" max="16" width="14.6328125" style="87" customWidth="1"/>
    <col min="17" max="21" width="8.7265625" style="87" customWidth="1"/>
    <col min="22" max="16384" width="8.7265625" style="87"/>
  </cols>
  <sheetData>
    <row r="1" spans="2:8" ht="13.5" customHeight="1" thickBot="1" x14ac:dyDescent="0.35">
      <c r="B1" s="99" t="s">
        <v>109</v>
      </c>
    </row>
    <row r="2" spans="2:8" ht="52.5" customHeight="1" thickBot="1" x14ac:dyDescent="0.3">
      <c r="C2" s="84" t="s">
        <v>110</v>
      </c>
      <c r="D2" s="84" t="s">
        <v>111</v>
      </c>
      <c r="E2" s="84" t="s">
        <v>112</v>
      </c>
      <c r="F2" s="84" t="s">
        <v>113</v>
      </c>
      <c r="G2" s="84" t="s">
        <v>114</v>
      </c>
      <c r="H2" s="84" t="s">
        <v>32</v>
      </c>
    </row>
    <row r="3" spans="2:8" x14ac:dyDescent="0.25">
      <c r="B3" s="100" t="s">
        <v>36</v>
      </c>
      <c r="C3" s="88">
        <f>Parameters_Public!$C$10</f>
        <v>257</v>
      </c>
      <c r="D3" s="88">
        <f>Parameters_Public!$C$10</f>
        <v>257</v>
      </c>
      <c r="E3" s="88">
        <f>Parameters_Public!$C$10</f>
        <v>257</v>
      </c>
      <c r="F3" s="88">
        <f>Parameters_Public!$C$10</f>
        <v>257</v>
      </c>
      <c r="G3" s="88">
        <f>Parameters_Public!$C$10</f>
        <v>257</v>
      </c>
      <c r="H3" s="88" t="s">
        <v>37</v>
      </c>
    </row>
    <row r="4" spans="2:8" x14ac:dyDescent="0.25">
      <c r="B4" s="87" t="s">
        <v>39</v>
      </c>
      <c r="C4" s="88">
        <f>Parameters_Public!$C$11</f>
        <v>296</v>
      </c>
      <c r="D4" s="88">
        <f>Parameters_Public!$C$11</f>
        <v>296</v>
      </c>
      <c r="E4" s="88">
        <f>Parameters_Public!$C$11</f>
        <v>296</v>
      </c>
      <c r="F4" s="88">
        <f>Parameters_Public!$C$11</f>
        <v>296</v>
      </c>
      <c r="G4" s="88">
        <f>Parameters_Public!$C$11</f>
        <v>296</v>
      </c>
      <c r="H4" s="88"/>
    </row>
    <row r="5" spans="2:8" x14ac:dyDescent="0.25">
      <c r="B5" s="87" t="s">
        <v>41</v>
      </c>
      <c r="C5" s="88">
        <v>0</v>
      </c>
      <c r="D5" s="95">
        <f>MultiYear_ProForma!$AB$17</f>
        <v>50</v>
      </c>
      <c r="E5" s="88">
        <v>0</v>
      </c>
      <c r="F5" s="95">
        <f>MultiYear_ProForma!$AB$42</f>
        <v>16.666666666666686</v>
      </c>
      <c r="G5" s="95">
        <f>MultiYear_ProForma!$AB$52</f>
        <v>17</v>
      </c>
      <c r="H5" s="88"/>
    </row>
    <row r="6" spans="2:8" x14ac:dyDescent="0.25">
      <c r="B6" s="101" t="s">
        <v>115</v>
      </c>
      <c r="C6" s="88">
        <f>Parameters_Public!$C$23</f>
        <v>0.6</v>
      </c>
      <c r="D6" s="88" t="str">
        <f t="shared" ref="D6:E8" si="0">"N/A"</f>
        <v>N/A</v>
      </c>
      <c r="E6" s="88" t="str">
        <f t="shared" si="0"/>
        <v>N/A</v>
      </c>
      <c r="F6" s="88">
        <f>Parameters_Public!$C$23</f>
        <v>0.6</v>
      </c>
      <c r="G6" s="88" t="str">
        <f>"N/A"</f>
        <v>N/A</v>
      </c>
      <c r="H6" s="88" t="s">
        <v>44</v>
      </c>
    </row>
    <row r="7" spans="2:8" x14ac:dyDescent="0.25">
      <c r="B7" s="100" t="s">
        <v>116</v>
      </c>
      <c r="C7" s="88">
        <f>Parameters_Public!$C$24</f>
        <v>0.85</v>
      </c>
      <c r="D7" s="88" t="str">
        <f t="shared" si="0"/>
        <v>N/A</v>
      </c>
      <c r="E7" s="88" t="str">
        <f t="shared" si="0"/>
        <v>N/A</v>
      </c>
      <c r="F7" s="88" t="s">
        <v>117</v>
      </c>
      <c r="G7" s="88">
        <f>Parameters_Public!$C$24</f>
        <v>0.85</v>
      </c>
      <c r="H7" s="88" t="s">
        <v>46</v>
      </c>
    </row>
    <row r="8" spans="2:8" x14ac:dyDescent="0.25">
      <c r="B8" s="102" t="s">
        <v>47</v>
      </c>
      <c r="C8" s="95">
        <f>Parameters_Public!$C$10*Parameters_Public!$C$23+Parameters_Public!$C$11*Parameters_Public!$C$24</f>
        <v>405.79999999999995</v>
      </c>
      <c r="D8" s="88" t="str">
        <f t="shared" si="0"/>
        <v>N/A</v>
      </c>
      <c r="E8" s="88" t="str">
        <f t="shared" si="0"/>
        <v>N/A</v>
      </c>
      <c r="F8" s="95">
        <f>Parameters_Public!$C$10*Parameters_Public!$C$23</f>
        <v>154.19999999999999</v>
      </c>
      <c r="G8" s="95">
        <f>Parameters_Public!$C$11*Parameters_Public!$C$24</f>
        <v>251.6</v>
      </c>
      <c r="H8" s="88"/>
    </row>
    <row r="9" spans="2:8" x14ac:dyDescent="0.25">
      <c r="B9" s="87" t="s">
        <v>48</v>
      </c>
      <c r="C9" s="95">
        <f>C8+C5</f>
        <v>405.79999999999995</v>
      </c>
      <c r="D9" s="88">
        <f>D5+D4+D3</f>
        <v>603</v>
      </c>
      <c r="E9" s="88">
        <f>E4+E3+E5</f>
        <v>553</v>
      </c>
      <c r="F9" s="95">
        <f>F4+F8+F5</f>
        <v>466.86666666666667</v>
      </c>
      <c r="G9" s="95">
        <f>G8+G3+G5</f>
        <v>525.6</v>
      </c>
      <c r="H9" s="88"/>
    </row>
    <row r="10" spans="2:8" x14ac:dyDescent="0.25">
      <c r="B10" s="87" t="s">
        <v>118</v>
      </c>
      <c r="C10" s="96">
        <f>MultiYear_ProForma!$AD$32/Working_test!C9</f>
        <v>10964.949999999999</v>
      </c>
      <c r="D10" s="96">
        <f>MultiYear_ProForma!$AD$17/Working_test!D9</f>
        <v>10900.273383084577</v>
      </c>
      <c r="E10" s="96">
        <f>MultiYear_ProForma!$AD$62/Working_test!E9</f>
        <v>10964.949999999999</v>
      </c>
      <c r="F10" s="96">
        <f>MultiYear_ProForma!$AD$42/Working_test!F9</f>
        <v>10937.104790803942</v>
      </c>
      <c r="G10" s="96">
        <f>MultiYear_ProForma!$AD$52/Working_test!G9</f>
        <v>10933.810852676306</v>
      </c>
      <c r="H10" s="88"/>
    </row>
    <row r="11" spans="2:8" x14ac:dyDescent="0.25">
      <c r="B11" s="87" t="s">
        <v>119</v>
      </c>
      <c r="C11" s="96">
        <f>C10*C9</f>
        <v>4449576.709999999</v>
      </c>
      <c r="D11" s="96">
        <f>D10*D9</f>
        <v>6572864.8500000006</v>
      </c>
      <c r="E11" s="96">
        <f>E10*E9</f>
        <v>6063617.3499999996</v>
      </c>
      <c r="F11" s="96">
        <f>F10*F9</f>
        <v>5106169.6566666672</v>
      </c>
      <c r="G11" s="96">
        <f>G10*G9</f>
        <v>5746810.9841666669</v>
      </c>
      <c r="H11" s="88"/>
    </row>
    <row r="12" spans="2:8" x14ac:dyDescent="0.25">
      <c r="B12" s="87" t="s">
        <v>120</v>
      </c>
      <c r="C12" s="96">
        <f>Parameters_Public!$C$14</f>
        <v>11589</v>
      </c>
      <c r="D12" s="96">
        <f>Parameters_Public!$C$14</f>
        <v>11589</v>
      </c>
      <c r="E12" s="96">
        <f>Parameters_Public!$C$14</f>
        <v>11589</v>
      </c>
      <c r="F12" s="96">
        <f>Parameters_Public!$C$14</f>
        <v>11589</v>
      </c>
      <c r="G12" s="96">
        <f>Parameters_Public!$C$14</f>
        <v>11589</v>
      </c>
      <c r="H12" s="88"/>
    </row>
    <row r="13" spans="2:8" x14ac:dyDescent="0.25">
      <c r="B13" s="87" t="s">
        <v>121</v>
      </c>
      <c r="C13" s="96">
        <f>BaselineCalc!$B$18</f>
        <v>8403.3633363471963</v>
      </c>
      <c r="D13" s="96">
        <f>BaselineCalc!$B$18</f>
        <v>8403.3633363471963</v>
      </c>
      <c r="E13" s="96">
        <f>BaselineCalc!$B$18</f>
        <v>8403.3633363471963</v>
      </c>
      <c r="F13" s="96">
        <f>BaselineCalc!$B$18</f>
        <v>8403.3633363471963</v>
      </c>
      <c r="G13" s="96">
        <f>BaselineCalc!$B$18</f>
        <v>8403.3633363471963</v>
      </c>
    </row>
    <row r="14" spans="2:8" x14ac:dyDescent="0.25">
      <c r="B14" s="87" t="s">
        <v>58</v>
      </c>
      <c r="C14" s="94">
        <f>C8</f>
        <v>405.79999999999995</v>
      </c>
      <c r="D14" s="87">
        <f>D3+D4</f>
        <v>553</v>
      </c>
      <c r="E14" s="87">
        <f>E9</f>
        <v>553</v>
      </c>
      <c r="F14" s="87">
        <f>F3+F4</f>
        <v>553</v>
      </c>
      <c r="G14" s="87">
        <f>G3+G4</f>
        <v>553</v>
      </c>
    </row>
    <row r="15" spans="2:8" x14ac:dyDescent="0.25">
      <c r="B15" s="87" t="s">
        <v>122</v>
      </c>
      <c r="C15" s="96">
        <f>C14*C13</f>
        <v>3410084.841889692</v>
      </c>
      <c r="D15" s="96">
        <f>D14*D13</f>
        <v>4647059.9249999998</v>
      </c>
      <c r="E15" s="96">
        <f>E14*E13</f>
        <v>4647059.9249999998</v>
      </c>
      <c r="F15" s="96">
        <f>F14*F13</f>
        <v>4647059.9249999998</v>
      </c>
      <c r="G15" s="96">
        <f>G14*G13</f>
        <v>4647059.9249999998</v>
      </c>
    </row>
    <row r="16" spans="2:8" x14ac:dyDescent="0.25">
      <c r="B16" s="87" t="s">
        <v>62</v>
      </c>
      <c r="C16" s="95">
        <f>C5</f>
        <v>0</v>
      </c>
      <c r="D16" s="95">
        <f>D5</f>
        <v>50</v>
      </c>
      <c r="E16" s="95">
        <f>E5</f>
        <v>0</v>
      </c>
      <c r="F16" s="95">
        <f>F5</f>
        <v>16.666666666666686</v>
      </c>
      <c r="G16" s="95">
        <f>G5</f>
        <v>17</v>
      </c>
    </row>
    <row r="17" spans="2:8" ht="37.5" customHeight="1" x14ac:dyDescent="0.25">
      <c r="B17" s="101" t="s">
        <v>123</v>
      </c>
      <c r="C17" s="85">
        <f>Parameters_Public!$C$43</f>
        <v>0.6</v>
      </c>
      <c r="D17" s="85">
        <f>Parameters_Public!$C$43</f>
        <v>0.6</v>
      </c>
      <c r="E17" s="85">
        <f>Parameters_Public!$C$43</f>
        <v>0.6</v>
      </c>
      <c r="F17" s="85">
        <f>Parameters_Public!$C$43</f>
        <v>0.6</v>
      </c>
      <c r="G17" s="85">
        <f>Parameters_Public!$C$43</f>
        <v>0.6</v>
      </c>
      <c r="H17" s="88" t="s">
        <v>46</v>
      </c>
    </row>
    <row r="18" spans="2:8" x14ac:dyDescent="0.25">
      <c r="B18" s="87" t="s">
        <v>124</v>
      </c>
      <c r="C18" s="96">
        <f>IFERROR((C13*C17), "N/A")</f>
        <v>5042.0180018083174</v>
      </c>
      <c r="D18" s="96">
        <f>IFERROR((D13*D17), "N/A")</f>
        <v>5042.0180018083174</v>
      </c>
      <c r="E18" s="96">
        <f>IFERROR((E13*E17), "N/A")</f>
        <v>5042.0180018083174</v>
      </c>
      <c r="F18" s="96">
        <f>IFERROR((F13*F17), "N/A")</f>
        <v>5042.0180018083174</v>
      </c>
      <c r="G18" s="96">
        <f>IFERROR((G13*G17), "N/A")</f>
        <v>5042.0180018083174</v>
      </c>
    </row>
    <row r="19" spans="2:8" x14ac:dyDescent="0.25">
      <c r="B19" s="87" t="s">
        <v>125</v>
      </c>
      <c r="C19" s="96" t="str">
        <f>IF(C18*C5=0, "N/A", C18*C5)</f>
        <v>N/A</v>
      </c>
      <c r="D19" s="96">
        <f>IF(D18*D5=0, "N/A", D18*D5)</f>
        <v>252100.90009041587</v>
      </c>
      <c r="E19" s="96" t="str">
        <f>IF(E18*E5=0, "N/A", E18*E5)</f>
        <v>N/A</v>
      </c>
      <c r="F19" s="96">
        <f>IF(F18*F5=0, "N/A", F18*F5)</f>
        <v>84033.63336347205</v>
      </c>
      <c r="G19" s="96">
        <f>IF(G18*G5=0, "N/A", G18*G5)</f>
        <v>85714.306030741398</v>
      </c>
    </row>
    <row r="20" spans="2:8" x14ac:dyDescent="0.25">
      <c r="B20" s="87" t="s">
        <v>126</v>
      </c>
      <c r="C20" s="97">
        <f>IF(C19="N/A", 0, C19)+C15</f>
        <v>3410084.841889692</v>
      </c>
      <c r="D20" s="97">
        <f>IF(D19="N/A", 0, D19)+D15</f>
        <v>4899160.8250904158</v>
      </c>
      <c r="E20" s="97">
        <f>IF(E19="N/A", 0, E19)+E15</f>
        <v>4647059.9249999998</v>
      </c>
      <c r="F20" s="97">
        <f>IF(F19="N/A", 0, F19)+F15</f>
        <v>4731093.5583634721</v>
      </c>
      <c r="G20" s="97">
        <f>IF(G19="N/A", 0, G19)+G15</f>
        <v>4732774.2310307408</v>
      </c>
    </row>
    <row r="21" spans="2:8" ht="25" customHeight="1" x14ac:dyDescent="0.25">
      <c r="B21" s="101" t="s">
        <v>127</v>
      </c>
      <c r="C21" s="85" t="str">
        <f>"$"&amp;YearMap!$E$2&amp;"/student"</f>
        <v>$1000/student</v>
      </c>
      <c r="D21" s="88" t="str">
        <f>"N/A"</f>
        <v>N/A</v>
      </c>
      <c r="E21" s="88" t="str">
        <f>"N/A"</f>
        <v>N/A</v>
      </c>
      <c r="F21" s="85" t="str">
        <f>"$"&amp;YearMap!$E$2&amp;"/student"</f>
        <v>$1000/student</v>
      </c>
      <c r="G21" s="85" t="str">
        <f>"$"&amp;YearMap!$E$2&amp;"/student"</f>
        <v>$1000/student</v>
      </c>
      <c r="H21" s="88" t="s">
        <v>46</v>
      </c>
    </row>
    <row r="22" spans="2:8" x14ac:dyDescent="0.25">
      <c r="B22" s="102" t="s">
        <v>128</v>
      </c>
      <c r="C22" s="96">
        <f>YearMap!$E$2*C8</f>
        <v>405799.99999999994</v>
      </c>
      <c r="D22" s="88" t="str">
        <f>"N/A"</f>
        <v>N/A</v>
      </c>
      <c r="E22" s="88" t="str">
        <f>"N/A"</f>
        <v>N/A</v>
      </c>
      <c r="F22" s="96">
        <f>YearMap!$E$2*F8</f>
        <v>154200</v>
      </c>
      <c r="G22" s="96">
        <f>YearMap!$E$2*G8</f>
        <v>251600</v>
      </c>
      <c r="H22" s="88"/>
    </row>
    <row r="23" spans="2:8" x14ac:dyDescent="0.25">
      <c r="B23" s="87" t="s">
        <v>75</v>
      </c>
      <c r="C23" s="97">
        <f>C20+IF(C22="N/A", 0, C22)</f>
        <v>3815884.841889692</v>
      </c>
      <c r="D23" s="97">
        <f>D20+IF(D22="N/A", 0, D22)</f>
        <v>4899160.8250904158</v>
      </c>
      <c r="E23" s="97">
        <f>E20+IF(E22="N/A", 0, E22)</f>
        <v>4647059.9249999998</v>
      </c>
      <c r="F23" s="97">
        <f>F20+IF(F22="N/A", 0, F22)</f>
        <v>4885293.5583634721</v>
      </c>
      <c r="G23" s="97">
        <f>G20+IF(G22="N/A", 0, G22)</f>
        <v>4984374.2310307408</v>
      </c>
    </row>
    <row r="24" spans="2:8" x14ac:dyDescent="0.25">
      <c r="B24" s="87" t="s">
        <v>76</v>
      </c>
      <c r="C24" s="96">
        <f>Site_Fixed!$D$10+Site_Fixed!$D$17</f>
        <v>1875000</v>
      </c>
      <c r="D24" s="96">
        <f>Site_Fixed!$D$10+Site_Fixed!$D$17</f>
        <v>1875000</v>
      </c>
      <c r="E24" s="96">
        <f>Site_Fixed!$D$10+Site_Fixed!$D$17</f>
        <v>1875000</v>
      </c>
      <c r="F24" s="96">
        <f>Site_Fixed!$D$10</f>
        <v>900000</v>
      </c>
      <c r="G24" s="96">
        <f>Site_Fixed!$D$17</f>
        <v>975000</v>
      </c>
      <c r="H24" s="88" t="s">
        <v>44</v>
      </c>
    </row>
    <row r="25" spans="2:8" x14ac:dyDescent="0.25">
      <c r="B25" s="87" t="s">
        <v>129</v>
      </c>
      <c r="C25" s="85">
        <f>YearMap!$F$2</f>
        <v>0.2</v>
      </c>
      <c r="D25" s="88" t="str">
        <f>"N/A"</f>
        <v>N/A</v>
      </c>
      <c r="E25" s="88" t="str">
        <f>"N/A"</f>
        <v>N/A</v>
      </c>
      <c r="F25" s="85">
        <f>YearMap!$F$2</f>
        <v>0.2</v>
      </c>
      <c r="G25" s="85">
        <f>YearMap!$F$2</f>
        <v>0.2</v>
      </c>
      <c r="H25" s="88" t="s">
        <v>46</v>
      </c>
    </row>
    <row r="26" spans="2:8" x14ac:dyDescent="0.25">
      <c r="B26" s="87" t="s">
        <v>130</v>
      </c>
      <c r="C26" s="96">
        <f>IFERROR(C24*(C25), C24)</f>
        <v>375000</v>
      </c>
      <c r="D26" s="96">
        <f>IFERROR(D24*(D25), D24)</f>
        <v>1875000</v>
      </c>
      <c r="E26" s="96">
        <f>IFERROR(E24*(E25), E24)</f>
        <v>1875000</v>
      </c>
      <c r="F26" s="96">
        <f>F24+IFERROR(G24*(F25), G24)</f>
        <v>1095000</v>
      </c>
      <c r="G26" s="96">
        <f>F24+IFERROR(F24*(G25), F24)</f>
        <v>1080000</v>
      </c>
    </row>
    <row r="27" spans="2:8" x14ac:dyDescent="0.25">
      <c r="B27" s="106" t="s">
        <v>78</v>
      </c>
      <c r="C27" s="107">
        <f>C26+C23</f>
        <v>4190884.841889692</v>
      </c>
      <c r="D27" s="107">
        <f>D26+D23</f>
        <v>6774160.8250904158</v>
      </c>
      <c r="E27" s="107">
        <f>E26+E23</f>
        <v>6522059.9249999998</v>
      </c>
      <c r="F27" s="107">
        <f>F26+F23</f>
        <v>5980293.5583634721</v>
      </c>
      <c r="G27" s="107">
        <f>G26+G23</f>
        <v>6064374.2310307408</v>
      </c>
    </row>
    <row r="28" spans="2:8" x14ac:dyDescent="0.25">
      <c r="B28" s="106" t="s">
        <v>131</v>
      </c>
      <c r="C28" s="108">
        <f>C11-C27</f>
        <v>258691.86811030703</v>
      </c>
      <c r="D28" s="109">
        <f>D11-D27</f>
        <v>-201295.97509041522</v>
      </c>
      <c r="E28" s="108">
        <f>E11-E27</f>
        <v>-458442.57500000019</v>
      </c>
      <c r="F28" s="109">
        <f>F11-F27</f>
        <v>-874123.90169680491</v>
      </c>
      <c r="G28" s="109">
        <f>G11-G27</f>
        <v>-317563.24686407391</v>
      </c>
    </row>
    <row r="31" spans="2:8" x14ac:dyDescent="0.25">
      <c r="B31" s="87" t="s">
        <v>132</v>
      </c>
      <c r="C31" s="97">
        <f>C23-C26</f>
        <v>3440884.841889692</v>
      </c>
    </row>
    <row r="32" spans="2:8" x14ac:dyDescent="0.25">
      <c r="B32" s="106"/>
      <c r="C32" s="107"/>
      <c r="D32" s="106"/>
      <c r="E32" s="106"/>
      <c r="F32" s="106"/>
      <c r="G32" s="106"/>
      <c r="H32" s="106"/>
    </row>
    <row r="33" spans="2:8" x14ac:dyDescent="0.25">
      <c r="B33" s="103" t="s">
        <v>131</v>
      </c>
      <c r="C33" s="104">
        <f>MultiYear_ProForma!$AF$32</f>
        <v>-797624.53813969251</v>
      </c>
      <c r="D33" s="104">
        <f>MultiYear_ProForma!$AF$17</f>
        <v>-210423.72431478277</v>
      </c>
      <c r="E33" s="104">
        <f>MultiYear_ProForma!$AF$62</f>
        <v>-459335.03052499983</v>
      </c>
      <c r="F33" s="104">
        <f>MultiYear_ProForma!$AF$42</f>
        <v>-76179.354787189513</v>
      </c>
      <c r="G33" s="104">
        <f>MultiYear_ProForma!$AF$52</f>
        <v>36009.647332676686</v>
      </c>
      <c r="H33" s="105"/>
    </row>
    <row r="35" spans="2:8" x14ac:dyDescent="0.25">
      <c r="B35" s="87" t="s">
        <v>133</v>
      </c>
      <c r="C35" s="98">
        <f>IFERROR(C26/C9, 0)</f>
        <v>924.10054213898479</v>
      </c>
      <c r="D35" s="98">
        <f>IFERROR(D26/D9, 0)</f>
        <v>3109.4527363184079</v>
      </c>
      <c r="E35" s="98">
        <f>IFERROR(E26/E9, 0)</f>
        <v>3390.5967450271246</v>
      </c>
      <c r="F35" s="98">
        <f>IFERROR(F26/F9, 0)</f>
        <v>2345.4233899757246</v>
      </c>
      <c r="G35" s="98">
        <f>IFERROR(G26/G9, 0)</f>
        <v>2054.794520547945</v>
      </c>
    </row>
    <row r="36" spans="2:8" x14ac:dyDescent="0.25">
      <c r="B36" s="87" t="s">
        <v>134</v>
      </c>
      <c r="C36" s="98">
        <f>C18-C35</f>
        <v>4117.9174596693329</v>
      </c>
    </row>
    <row r="37" spans="2:8" ht="14.5" customHeight="1" x14ac:dyDescent="0.25">
      <c r="B37" s="87" t="s">
        <v>135</v>
      </c>
    </row>
    <row r="39" spans="2:8" x14ac:dyDescent="0.25">
      <c r="B39" s="100" t="s">
        <v>136</v>
      </c>
      <c r="C39" s="88"/>
      <c r="D39" s="88"/>
      <c r="E39" s="88"/>
      <c r="F39" s="88"/>
      <c r="G39" s="88"/>
      <c r="H39" s="88" t="s">
        <v>46</v>
      </c>
    </row>
    <row r="40" spans="2:8" ht="38.5" customHeight="1" x14ac:dyDescent="0.25">
      <c r="B40" s="100" t="s">
        <v>137</v>
      </c>
      <c r="C40" s="89" t="s">
        <v>138</v>
      </c>
      <c r="D40" s="89" t="s">
        <v>139</v>
      </c>
      <c r="E40" s="89" t="s">
        <v>140</v>
      </c>
      <c r="F40" s="89" t="s">
        <v>141</v>
      </c>
      <c r="G40" s="89" t="s">
        <v>141</v>
      </c>
      <c r="H40" s="88" t="s">
        <v>46</v>
      </c>
    </row>
    <row r="41" spans="2:8" x14ac:dyDescent="0.25">
      <c r="B41" s="102" t="s">
        <v>142</v>
      </c>
      <c r="C41" s="88" t="s">
        <v>143</v>
      </c>
      <c r="D41" s="88" t="s">
        <v>144</v>
      </c>
      <c r="E41" s="88" t="s">
        <v>145</v>
      </c>
      <c r="F41" s="88" t="s">
        <v>146</v>
      </c>
      <c r="G41" s="88" t="s">
        <v>146</v>
      </c>
      <c r="H41" s="88"/>
    </row>
    <row r="42" spans="2:8" x14ac:dyDescent="0.25">
      <c r="B42" s="102" t="s">
        <v>147</v>
      </c>
      <c r="C42" s="88" t="s">
        <v>145</v>
      </c>
      <c r="D42" s="88" t="s">
        <v>145</v>
      </c>
      <c r="E42" s="88" t="s">
        <v>148</v>
      </c>
      <c r="F42" s="88" t="s">
        <v>146</v>
      </c>
      <c r="G42" s="88" t="s">
        <v>146</v>
      </c>
      <c r="H42" s="88"/>
    </row>
    <row r="44" spans="2:8" ht="25" customHeight="1" x14ac:dyDescent="0.25">
      <c r="B44" s="101" t="s">
        <v>149</v>
      </c>
      <c r="C44" s="87" t="str">
        <f>"$"&amp;YearMap!$E$6&amp;"/student"</f>
        <v>$300/student</v>
      </c>
      <c r="D44" s="88" t="str">
        <f>"N/A"</f>
        <v>N/A</v>
      </c>
      <c r="E44" s="88" t="str">
        <f>"N/A"</f>
        <v>N/A</v>
      </c>
      <c r="F44" s="87" t="str">
        <f>"$"&amp;YearMap!$E$6&amp;"/student"</f>
        <v>$300/student</v>
      </c>
      <c r="G44" s="87" t="str">
        <f>"$"&amp;YearMap!$E$6&amp;"/student"</f>
        <v>$300/student</v>
      </c>
    </row>
    <row r="45" spans="2:8" x14ac:dyDescent="0.25">
      <c r="B45" s="102" t="s">
        <v>150</v>
      </c>
      <c r="C45" s="96">
        <f>YearMap!$E$6*C8</f>
        <v>121739.99999999999</v>
      </c>
      <c r="D45" s="88" t="str">
        <f>"N/A"</f>
        <v>N/A</v>
      </c>
      <c r="E45" s="88" t="str">
        <f>"N/A"</f>
        <v>N/A</v>
      </c>
      <c r="F45" s="96">
        <f>YearMap!$E$6*F8</f>
        <v>46260</v>
      </c>
      <c r="G45" s="96">
        <f>YearMap!$E$6*G8</f>
        <v>75480</v>
      </c>
    </row>
    <row r="47" spans="2:8" ht="25" customHeight="1" x14ac:dyDescent="0.25">
      <c r="B47" s="101" t="s">
        <v>151</v>
      </c>
      <c r="C47" s="85">
        <f>YearMap!$F$6</f>
        <v>0.1</v>
      </c>
      <c r="D47" s="88" t="str">
        <f>"N/A"</f>
        <v>N/A</v>
      </c>
      <c r="E47" s="88" t="str">
        <f>"N/A"</f>
        <v>N/A</v>
      </c>
      <c r="F47" s="85">
        <f>YearMap!$F$6</f>
        <v>0.1</v>
      </c>
      <c r="G47" s="85">
        <f>YearMap!$F$6</f>
        <v>0.1</v>
      </c>
      <c r="H47" s="88" t="s">
        <v>46</v>
      </c>
    </row>
    <row r="48" spans="2:8" x14ac:dyDescent="0.25">
      <c r="B48" s="102" t="s">
        <v>152</v>
      </c>
      <c r="C48" s="96">
        <f>C24*(1-C47)</f>
        <v>1687500</v>
      </c>
      <c r="D48" s="88" t="str">
        <f>"N/A"</f>
        <v>N/A</v>
      </c>
      <c r="E48" s="88" t="str">
        <f>"N/A"</f>
        <v>N/A</v>
      </c>
      <c r="F48" s="96">
        <f>F24*(1-F47)</f>
        <v>810000</v>
      </c>
      <c r="G48" s="96">
        <f>G24*(1-G47)</f>
        <v>877500</v>
      </c>
    </row>
    <row r="50" spans="1:8" ht="25" customHeight="1" x14ac:dyDescent="0.25">
      <c r="B50" s="101" t="s">
        <v>153</v>
      </c>
      <c r="C50" s="88" t="str">
        <f>"N/A"</f>
        <v>N/A</v>
      </c>
      <c r="D50" s="85" t="str">
        <f>"&amp;Scenarios!M6&amp;""students"</f>
        <v>&amp;Scenarios!M6&amp;"students</v>
      </c>
      <c r="E50" s="85" t="s">
        <v>154</v>
      </c>
      <c r="F50" s="88"/>
      <c r="G50" s="88"/>
      <c r="H50" s="88" t="s">
        <v>46</v>
      </c>
    </row>
    <row r="52" spans="1:8" x14ac:dyDescent="0.25">
      <c r="B52" s="102" t="s">
        <v>155</v>
      </c>
      <c r="C52" s="96">
        <f>Summary_Figures!$F$11</f>
        <v>-238259.87610541843</v>
      </c>
    </row>
    <row r="53" spans="1:8" ht="25" customHeight="1" x14ac:dyDescent="0.25">
      <c r="B53" s="101" t="s">
        <v>156</v>
      </c>
      <c r="C53" s="96">
        <f>Summary_Figures!$G$11</f>
        <v>-487110.59095861949</v>
      </c>
      <c r="D53" s="88"/>
      <c r="E53" s="88"/>
      <c r="F53" s="88"/>
      <c r="G53" s="88"/>
      <c r="H53" s="88" t="s">
        <v>46</v>
      </c>
    </row>
    <row r="57" spans="1:8" x14ac:dyDescent="0.25">
      <c r="B57" s="87" t="s">
        <v>157</v>
      </c>
    </row>
    <row r="58" spans="1:8" x14ac:dyDescent="0.25">
      <c r="A58" s="137" t="s">
        <v>158</v>
      </c>
      <c r="B58" s="87" t="s">
        <v>159</v>
      </c>
    </row>
    <row r="59" spans="1:8" x14ac:dyDescent="0.25">
      <c r="A59" s="138"/>
      <c r="B59" s="87" t="s">
        <v>160</v>
      </c>
    </row>
    <row r="60" spans="1:8" x14ac:dyDescent="0.25">
      <c r="A60" s="138"/>
      <c r="B60" s="87" t="s">
        <v>161</v>
      </c>
    </row>
    <row r="61" spans="1:8" x14ac:dyDescent="0.25">
      <c r="A61" s="138"/>
      <c r="B61" s="87" t="s">
        <v>162</v>
      </c>
    </row>
    <row r="62" spans="1:8" x14ac:dyDescent="0.25">
      <c r="A62" s="137" t="s">
        <v>163</v>
      </c>
      <c r="B62" s="87" t="s">
        <v>164</v>
      </c>
    </row>
    <row r="63" spans="1:8" x14ac:dyDescent="0.25">
      <c r="A63" s="138"/>
      <c r="B63" s="87" t="s">
        <v>165</v>
      </c>
    </row>
    <row r="64" spans="1:8" x14ac:dyDescent="0.25">
      <c r="A64" s="138"/>
      <c r="B64" s="87" t="s">
        <v>166</v>
      </c>
    </row>
    <row r="65" spans="1:8" x14ac:dyDescent="0.25">
      <c r="A65" s="138"/>
      <c r="B65" s="87" t="s">
        <v>167</v>
      </c>
    </row>
    <row r="66" spans="1:8" x14ac:dyDescent="0.25">
      <c r="B66" s="87" t="s">
        <v>168</v>
      </c>
    </row>
    <row r="69" spans="1:8" ht="13" customHeight="1" thickBot="1" x14ac:dyDescent="0.3">
      <c r="B69" s="87" t="s">
        <v>169</v>
      </c>
    </row>
    <row r="70" spans="1:8" ht="52.5" customHeight="1" thickBot="1" x14ac:dyDescent="0.3">
      <c r="C70" s="84" t="s">
        <v>170</v>
      </c>
      <c r="D70" s="84" t="s">
        <v>111</v>
      </c>
      <c r="E70" s="84" t="s">
        <v>171</v>
      </c>
      <c r="F70" s="84" t="s">
        <v>172</v>
      </c>
      <c r="G70" s="84" t="s">
        <v>173</v>
      </c>
      <c r="H70" s="84" t="s">
        <v>32</v>
      </c>
    </row>
    <row r="71" spans="1:8" ht="39.5" customHeight="1" thickBot="1" x14ac:dyDescent="0.3">
      <c r="B71" s="84" t="s">
        <v>174</v>
      </c>
    </row>
    <row r="72" spans="1:8" ht="39" customHeight="1" x14ac:dyDescent="0.25">
      <c r="B72" s="86" t="s">
        <v>175</v>
      </c>
    </row>
    <row r="73" spans="1:8" x14ac:dyDescent="0.25">
      <c r="A73" s="137" t="s">
        <v>158</v>
      </c>
      <c r="B73" s="87" t="s">
        <v>159</v>
      </c>
    </row>
    <row r="74" spans="1:8" x14ac:dyDescent="0.25">
      <c r="A74" s="138"/>
      <c r="B74" s="87" t="s">
        <v>160</v>
      </c>
    </row>
    <row r="75" spans="1:8" x14ac:dyDescent="0.25">
      <c r="A75" s="138"/>
      <c r="B75" s="87" t="s">
        <v>161</v>
      </c>
    </row>
    <row r="76" spans="1:8" x14ac:dyDescent="0.25">
      <c r="A76" s="138"/>
      <c r="B76" s="87" t="s">
        <v>162</v>
      </c>
    </row>
    <row r="77" spans="1:8" x14ac:dyDescent="0.25">
      <c r="A77" s="137" t="s">
        <v>163</v>
      </c>
      <c r="B77" s="87" t="s">
        <v>164</v>
      </c>
    </row>
    <row r="78" spans="1:8" x14ac:dyDescent="0.25">
      <c r="A78" s="138"/>
      <c r="B78" s="87" t="s">
        <v>165</v>
      </c>
    </row>
    <row r="79" spans="1:8" x14ac:dyDescent="0.25">
      <c r="A79" s="138"/>
      <c r="B79" s="87" t="s">
        <v>166</v>
      </c>
    </row>
    <row r="80" spans="1:8" x14ac:dyDescent="0.25">
      <c r="A80" s="138"/>
      <c r="B80" s="87" t="s">
        <v>167</v>
      </c>
    </row>
    <row r="83" spans="2:2" x14ac:dyDescent="0.25">
      <c r="B83" s="87" t="s">
        <v>176</v>
      </c>
    </row>
  </sheetData>
  <mergeCells count="4">
    <mergeCell ref="A58:A61"/>
    <mergeCell ref="A62:A65"/>
    <mergeCell ref="A73:A76"/>
    <mergeCell ref="A77:A80"/>
  </mergeCells>
  <pageMargins left="0.7" right="0.7" top="0.75" bottom="0.75" header="0.3" footer="0.3"/>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68"/>
  <sheetViews>
    <sheetView zoomScale="70" zoomScaleNormal="70" workbookViewId="0">
      <selection activeCell="B5" sqref="B5"/>
    </sheetView>
  </sheetViews>
  <sheetFormatPr defaultRowHeight="14.5" x14ac:dyDescent="0.35"/>
  <cols>
    <col min="1" max="1" width="2.63281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x14ac:dyDescent="0.35">
      <c r="A1" s="12"/>
      <c r="B1" s="80" t="s">
        <v>177</v>
      </c>
      <c r="C1" s="12"/>
      <c r="D1" s="41"/>
      <c r="E1" s="12"/>
      <c r="F1" s="12"/>
      <c r="G1" s="12"/>
      <c r="H1" s="12"/>
      <c r="I1" s="12"/>
      <c r="J1" s="12"/>
      <c r="K1" s="12"/>
      <c r="L1" s="12"/>
      <c r="M1" s="12"/>
      <c r="N1" s="12"/>
      <c r="O1" s="12"/>
      <c r="P1" s="12"/>
      <c r="Q1" s="12"/>
      <c r="R1" s="12"/>
      <c r="S1" s="12"/>
    </row>
    <row r="2" spans="1:19" x14ac:dyDescent="0.35">
      <c r="A2" s="12"/>
      <c r="B2" s="12"/>
      <c r="C2" s="12"/>
      <c r="D2" s="12"/>
      <c r="E2" s="12"/>
      <c r="F2" s="12"/>
      <c r="G2" s="12"/>
      <c r="H2" s="12"/>
      <c r="I2" s="12"/>
      <c r="J2" s="12"/>
      <c r="K2" s="12"/>
      <c r="L2" s="12"/>
      <c r="M2" s="12"/>
      <c r="N2" s="12"/>
      <c r="O2" s="12"/>
      <c r="P2" s="12"/>
      <c r="Q2" s="12"/>
      <c r="R2" s="12"/>
      <c r="S2" s="12"/>
    </row>
    <row r="3" spans="1:19" x14ac:dyDescent="0.35">
      <c r="A3" s="12"/>
      <c r="B3" s="44" t="s">
        <v>178</v>
      </c>
      <c r="C3" s="140" t="s">
        <v>179</v>
      </c>
      <c r="D3" s="141"/>
      <c r="E3" s="141"/>
      <c r="F3" s="141"/>
      <c r="G3" s="141"/>
      <c r="H3" s="141"/>
      <c r="I3" s="40" t="s">
        <v>180</v>
      </c>
      <c r="J3" s="39"/>
      <c r="K3" s="39"/>
      <c r="L3" s="39"/>
      <c r="M3" s="12"/>
      <c r="N3" s="12"/>
      <c r="O3" s="12"/>
      <c r="P3" s="12"/>
      <c r="Q3" s="12"/>
      <c r="R3" s="12"/>
      <c r="S3" s="12"/>
    </row>
    <row r="4" spans="1:19" ht="30" customHeight="1" x14ac:dyDescent="0.35">
      <c r="A4" s="12"/>
      <c r="B4" s="42" t="s">
        <v>181</v>
      </c>
      <c r="C4" s="145" t="str">
        <f>VLOOKUP($B4,Scenarios!$A$2:$C$15, 2, 0)</f>
        <v>Repurpose both Echo &amp; Pima; lease both properties; fixed cost reduction rate, retention %, and transition cost assumptions are key drivers</v>
      </c>
      <c r="D4" s="146"/>
      <c r="E4" s="146"/>
      <c r="F4" s="146"/>
      <c r="G4" s="146"/>
      <c r="H4" s="146"/>
      <c r="I4" s="66"/>
      <c r="J4" s="67">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68"/>
      <c r="L4" s="69"/>
      <c r="M4" s="12"/>
      <c r="N4" s="12"/>
      <c r="O4" s="12"/>
      <c r="P4" s="12"/>
      <c r="Q4" s="12"/>
      <c r="R4" s="12"/>
      <c r="S4" s="12"/>
    </row>
    <row r="5" spans="1:19" ht="31.5" customHeight="1" x14ac:dyDescent="0.35">
      <c r="A5" s="12"/>
      <c r="B5" s="43" t="s">
        <v>657</v>
      </c>
      <c r="C5" s="139" t="str">
        <f>VLOOKUP($B5,Scenarios!$A$2:$C$15, 2, 0)</f>
        <v>Echo &amp; Pima open; no operational or strategic growth actions; enrollment decline trend continues</v>
      </c>
      <c r="D5" s="136"/>
      <c r="E5" s="136"/>
      <c r="F5" s="136"/>
      <c r="G5" s="136"/>
      <c r="H5" s="136"/>
      <c r="I5" s="66"/>
      <c r="J5" s="67">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68"/>
      <c r="L5" s="69"/>
      <c r="M5" s="12"/>
      <c r="N5" s="12"/>
      <c r="O5" s="12"/>
      <c r="P5" s="12"/>
      <c r="Q5" s="12"/>
      <c r="R5" s="12"/>
      <c r="S5" s="12"/>
    </row>
    <row r="6" spans="1:19" x14ac:dyDescent="0.35">
      <c r="A6" s="12"/>
      <c r="B6" s="33"/>
      <c r="C6" s="12"/>
      <c r="D6" s="12"/>
      <c r="E6" s="12"/>
      <c r="F6" s="12"/>
      <c r="G6" s="12"/>
      <c r="H6" s="12"/>
      <c r="I6" s="12"/>
      <c r="J6" s="12"/>
      <c r="K6" s="12"/>
      <c r="L6" s="12"/>
      <c r="M6" s="12"/>
      <c r="N6" s="12"/>
      <c r="O6" s="12"/>
      <c r="P6" s="12"/>
      <c r="Q6" s="12"/>
      <c r="R6" s="12"/>
      <c r="S6" s="12"/>
    </row>
    <row r="7" spans="1:19" x14ac:dyDescent="0.35">
      <c r="A7" s="12"/>
      <c r="B7" s="12"/>
      <c r="C7" s="12"/>
      <c r="D7" s="12"/>
      <c r="E7" s="12"/>
      <c r="F7" s="12"/>
      <c r="G7" s="12"/>
      <c r="H7" s="12"/>
      <c r="I7" s="12"/>
      <c r="J7" s="12"/>
      <c r="K7" s="12"/>
      <c r="L7" s="12"/>
      <c r="M7" s="12"/>
      <c r="N7" s="12"/>
      <c r="O7" s="12"/>
      <c r="P7" s="12"/>
      <c r="Q7" s="12"/>
      <c r="R7" s="12"/>
      <c r="S7" s="12"/>
    </row>
    <row r="8" spans="1:19" x14ac:dyDescent="0.35">
      <c r="A8" s="12"/>
      <c r="B8" s="12"/>
      <c r="C8" s="12"/>
      <c r="D8" s="12"/>
      <c r="E8" s="12"/>
      <c r="F8" s="12"/>
      <c r="G8" s="12"/>
      <c r="H8" s="12"/>
      <c r="I8" s="12"/>
      <c r="J8" s="12"/>
      <c r="K8" s="12"/>
      <c r="L8" s="12"/>
      <c r="M8" s="12"/>
      <c r="N8" s="12"/>
      <c r="O8" s="12"/>
      <c r="P8" s="12"/>
      <c r="Q8" s="12"/>
      <c r="R8" s="12"/>
      <c r="S8" s="12"/>
    </row>
    <row r="9" spans="1:19" x14ac:dyDescent="0.35">
      <c r="A9" s="12"/>
      <c r="B9" s="12"/>
      <c r="C9" s="12"/>
      <c r="D9" s="12"/>
      <c r="E9" s="12"/>
      <c r="F9" s="12"/>
      <c r="G9" s="12"/>
      <c r="H9" s="12"/>
      <c r="I9" s="12"/>
      <c r="J9" s="12"/>
      <c r="K9" s="12"/>
      <c r="L9" s="12"/>
      <c r="M9" s="12"/>
      <c r="N9" s="12"/>
      <c r="O9" s="12"/>
      <c r="P9" s="12"/>
      <c r="Q9" s="12"/>
      <c r="R9" s="12"/>
      <c r="S9" s="12"/>
    </row>
    <row r="10" spans="1:19" x14ac:dyDescent="0.35">
      <c r="A10" s="12"/>
      <c r="B10" s="12"/>
      <c r="C10" s="12"/>
      <c r="D10" s="12"/>
      <c r="E10" s="12"/>
      <c r="F10" s="12"/>
      <c r="G10" s="12"/>
      <c r="H10" s="12"/>
      <c r="I10" s="12"/>
      <c r="J10" s="12"/>
      <c r="K10" s="12"/>
      <c r="L10" s="12"/>
      <c r="M10" s="12"/>
      <c r="N10" s="12"/>
      <c r="O10" s="12"/>
      <c r="P10" s="12"/>
      <c r="Q10" s="12"/>
      <c r="R10" s="12"/>
      <c r="S10" s="12"/>
    </row>
    <row r="11" spans="1:19" x14ac:dyDescent="0.35">
      <c r="A11" s="12"/>
      <c r="B11" s="12"/>
      <c r="C11" s="12"/>
      <c r="D11" s="12"/>
      <c r="E11" s="12"/>
      <c r="F11" s="12"/>
      <c r="G11" s="12"/>
      <c r="H11" s="12"/>
      <c r="I11" s="12"/>
      <c r="J11" s="12"/>
      <c r="K11" s="12"/>
      <c r="L11" s="12"/>
      <c r="M11" s="12"/>
      <c r="N11" s="12"/>
      <c r="O11" s="12"/>
      <c r="P11" s="12"/>
      <c r="Q11" s="12"/>
      <c r="R11" s="12"/>
      <c r="S11" s="12"/>
    </row>
    <row r="12" spans="1:19" x14ac:dyDescent="0.35">
      <c r="A12" s="12"/>
      <c r="B12" s="12"/>
      <c r="C12" s="12"/>
      <c r="D12" s="12"/>
      <c r="E12" s="12"/>
      <c r="F12" s="12"/>
      <c r="G12" s="12"/>
      <c r="H12" s="12"/>
      <c r="I12" s="12"/>
      <c r="J12" s="12"/>
      <c r="K12" s="12"/>
      <c r="L12" s="12"/>
      <c r="M12" s="12"/>
      <c r="N12" s="12"/>
      <c r="O12" s="12"/>
      <c r="P12" s="12"/>
      <c r="Q12" s="12"/>
      <c r="R12" s="12"/>
      <c r="S12" s="12"/>
    </row>
    <row r="13" spans="1:19" x14ac:dyDescent="0.35">
      <c r="A13" s="12"/>
      <c r="B13" s="12"/>
      <c r="C13" s="12"/>
      <c r="D13" s="12"/>
      <c r="E13" s="12"/>
      <c r="F13" s="12"/>
      <c r="G13" s="12"/>
      <c r="H13" s="12"/>
      <c r="I13" s="12"/>
      <c r="J13" s="12"/>
      <c r="K13" s="12"/>
      <c r="L13" s="12"/>
      <c r="M13" s="12"/>
      <c r="N13" s="12"/>
      <c r="O13" s="12"/>
      <c r="P13" s="12"/>
      <c r="Q13" s="12"/>
      <c r="R13" s="12"/>
      <c r="S13" s="12"/>
    </row>
    <row r="14" spans="1:19" x14ac:dyDescent="0.35">
      <c r="A14" s="12"/>
      <c r="B14" s="12"/>
      <c r="C14" s="12"/>
      <c r="D14" s="12"/>
      <c r="E14" s="12"/>
      <c r="F14" s="12"/>
      <c r="G14" s="12"/>
      <c r="H14" s="12"/>
      <c r="I14" s="12"/>
      <c r="J14" s="12"/>
      <c r="K14" s="12"/>
      <c r="L14" s="12"/>
      <c r="M14" s="12"/>
      <c r="N14" s="12"/>
      <c r="O14" s="12"/>
      <c r="P14" s="12"/>
      <c r="Q14" s="12"/>
      <c r="R14" s="12"/>
      <c r="S14" s="12"/>
    </row>
    <row r="15" spans="1:19" x14ac:dyDescent="0.35">
      <c r="A15" s="12"/>
      <c r="B15" s="12"/>
      <c r="C15" s="12"/>
      <c r="D15" s="12"/>
      <c r="E15" s="12"/>
      <c r="F15" s="12"/>
      <c r="G15" s="12"/>
      <c r="H15" s="12"/>
      <c r="I15" s="12"/>
      <c r="J15" s="12"/>
      <c r="K15" s="12"/>
      <c r="L15" s="12"/>
      <c r="M15" s="12"/>
      <c r="N15" s="12"/>
      <c r="O15" s="12"/>
      <c r="P15" s="12"/>
      <c r="Q15" s="12"/>
      <c r="R15" s="12"/>
      <c r="S15" s="12"/>
    </row>
    <row r="16" spans="1:19" x14ac:dyDescent="0.35">
      <c r="A16" s="12"/>
      <c r="B16" s="12"/>
      <c r="C16" s="12"/>
      <c r="D16" s="12"/>
      <c r="E16" s="12"/>
      <c r="F16" s="12"/>
      <c r="G16" s="12"/>
      <c r="H16" s="12"/>
      <c r="I16" s="12"/>
      <c r="J16" s="12"/>
      <c r="K16" s="12"/>
      <c r="L16" s="12"/>
      <c r="M16" s="12"/>
      <c r="N16" s="12"/>
      <c r="O16" s="12"/>
      <c r="P16" s="12"/>
      <c r="Q16" s="12"/>
      <c r="R16" s="12"/>
      <c r="S16" s="12"/>
    </row>
    <row r="17" spans="1:19" x14ac:dyDescent="0.35">
      <c r="A17" s="12"/>
      <c r="B17" s="12"/>
      <c r="C17" s="12"/>
      <c r="D17" s="12"/>
      <c r="E17" s="12"/>
      <c r="F17" s="12"/>
      <c r="G17" s="12"/>
      <c r="H17" s="12"/>
      <c r="I17" s="12"/>
      <c r="J17" s="12"/>
      <c r="K17" s="12"/>
      <c r="L17" s="12"/>
      <c r="M17" s="12"/>
      <c r="N17" s="12"/>
      <c r="O17" s="12"/>
      <c r="P17" s="12"/>
      <c r="Q17" s="12"/>
      <c r="R17" s="12"/>
      <c r="S17" s="12"/>
    </row>
    <row r="18" spans="1:19" x14ac:dyDescent="0.35">
      <c r="A18" s="12"/>
      <c r="B18" s="12"/>
      <c r="C18" s="12"/>
      <c r="D18" s="12"/>
      <c r="E18" s="12"/>
      <c r="F18" s="12"/>
      <c r="G18" s="12"/>
      <c r="H18" s="12"/>
      <c r="I18" s="12"/>
      <c r="J18" s="12"/>
      <c r="K18" s="12"/>
      <c r="L18" s="12"/>
      <c r="M18" s="12"/>
      <c r="N18" s="12"/>
      <c r="O18" s="12"/>
      <c r="P18" s="12"/>
      <c r="Q18" s="12"/>
      <c r="R18" s="12"/>
      <c r="S18" s="12"/>
    </row>
    <row r="19" spans="1:19" x14ac:dyDescent="0.35">
      <c r="A19" s="12"/>
      <c r="B19" s="12"/>
      <c r="C19" s="12"/>
      <c r="D19" s="12"/>
      <c r="E19" s="12"/>
      <c r="F19" s="12"/>
      <c r="G19" s="12"/>
      <c r="H19" s="12"/>
      <c r="I19" s="12"/>
      <c r="J19" s="12"/>
      <c r="K19" s="12"/>
      <c r="L19" s="12"/>
      <c r="M19" s="12"/>
      <c r="N19" s="12"/>
      <c r="O19" s="12"/>
      <c r="P19" s="12"/>
      <c r="Q19" s="12"/>
      <c r="R19" s="12"/>
      <c r="S19" s="12"/>
    </row>
    <row r="20" spans="1:19" x14ac:dyDescent="0.35">
      <c r="A20" s="12"/>
      <c r="B20" s="12"/>
      <c r="C20" s="12"/>
      <c r="D20" s="12"/>
      <c r="E20" s="12"/>
      <c r="F20" s="12"/>
      <c r="G20" s="12"/>
      <c r="H20" s="12"/>
      <c r="I20" s="12"/>
      <c r="J20" s="12"/>
      <c r="K20" s="12"/>
      <c r="L20" s="12"/>
      <c r="M20" s="12"/>
      <c r="N20" s="12"/>
      <c r="O20" s="12"/>
      <c r="P20" s="12"/>
      <c r="Q20" s="12"/>
      <c r="R20" s="12"/>
      <c r="S20" s="12"/>
    </row>
    <row r="21" spans="1:19" x14ac:dyDescent="0.35">
      <c r="A21" s="12"/>
      <c r="B21" s="12"/>
      <c r="C21" s="12"/>
      <c r="D21" s="12"/>
      <c r="E21" s="12"/>
      <c r="F21" s="12"/>
      <c r="G21" s="12"/>
      <c r="H21" s="12"/>
      <c r="I21" s="12"/>
      <c r="J21" s="12"/>
      <c r="K21" s="12"/>
      <c r="L21" s="12"/>
      <c r="M21" s="12"/>
      <c r="N21" s="12"/>
      <c r="O21" s="12"/>
      <c r="P21" s="12"/>
      <c r="Q21" s="12"/>
      <c r="R21" s="12"/>
      <c r="S21" s="12"/>
    </row>
    <row r="22" spans="1:19" x14ac:dyDescent="0.35">
      <c r="A22" s="12"/>
      <c r="B22" s="12"/>
      <c r="C22" s="12"/>
      <c r="D22" s="12"/>
      <c r="E22" s="12"/>
      <c r="F22" s="12"/>
      <c r="G22" s="12"/>
      <c r="H22" s="12"/>
      <c r="I22" s="12"/>
      <c r="J22" s="12"/>
      <c r="K22" s="12"/>
      <c r="L22" s="12"/>
      <c r="M22" s="12"/>
      <c r="N22" s="12"/>
      <c r="O22" s="12"/>
      <c r="P22" s="12"/>
      <c r="Q22" s="12"/>
      <c r="R22" s="12"/>
      <c r="S22" s="12"/>
    </row>
    <row r="23" spans="1:19" x14ac:dyDescent="0.35">
      <c r="A23" s="12"/>
      <c r="B23" s="12"/>
      <c r="C23" s="12"/>
      <c r="D23" s="12"/>
      <c r="E23" s="12"/>
      <c r="F23" s="12"/>
      <c r="G23" s="12"/>
      <c r="H23" s="12"/>
      <c r="I23" s="12"/>
      <c r="J23" s="12"/>
      <c r="K23" s="12"/>
      <c r="L23" s="12"/>
      <c r="M23" s="12"/>
      <c r="N23" s="12"/>
      <c r="O23" s="12"/>
      <c r="P23" s="12"/>
      <c r="Q23" s="12"/>
      <c r="R23" s="12"/>
      <c r="S23" s="12"/>
    </row>
    <row r="24" spans="1:19" ht="31" customHeight="1" x14ac:dyDescent="0.35">
      <c r="A24" s="12"/>
      <c r="B24" s="144" t="s">
        <v>183</v>
      </c>
      <c r="C24" s="136"/>
      <c r="D24" s="136"/>
      <c r="E24" s="136"/>
      <c r="F24" s="136"/>
      <c r="G24" s="136"/>
      <c r="H24" s="136"/>
      <c r="I24" s="136"/>
      <c r="J24" s="136"/>
      <c r="K24" s="136"/>
      <c r="L24" s="136"/>
      <c r="M24" s="12"/>
      <c r="N24" s="12"/>
      <c r="O24" s="12"/>
      <c r="P24" s="12"/>
      <c r="Q24" s="12"/>
      <c r="R24" s="12"/>
      <c r="S24" s="12"/>
    </row>
    <row r="25" spans="1:19" x14ac:dyDescent="0.35">
      <c r="A25" s="12"/>
      <c r="B25" s="12"/>
      <c r="C25" s="12"/>
      <c r="D25" s="12"/>
      <c r="E25" s="12"/>
      <c r="F25" s="12"/>
      <c r="G25" s="12"/>
      <c r="H25" s="12"/>
      <c r="I25" s="12"/>
      <c r="J25" s="12"/>
      <c r="K25" s="12"/>
      <c r="L25" s="12"/>
      <c r="M25" s="12"/>
      <c r="N25" s="12"/>
      <c r="O25" s="12"/>
      <c r="P25" s="12"/>
      <c r="Q25" s="12"/>
      <c r="R25" s="12"/>
      <c r="S25" s="12"/>
    </row>
    <row r="26" spans="1:19" x14ac:dyDescent="0.35">
      <c r="A26" s="12"/>
      <c r="B26" s="34" t="s">
        <v>184</v>
      </c>
      <c r="C26" s="45" t="s">
        <v>185</v>
      </c>
      <c r="D26" s="46" t="s">
        <v>186</v>
      </c>
      <c r="E26" s="12"/>
      <c r="F26" s="12"/>
      <c r="G26" s="12"/>
      <c r="H26" s="12"/>
      <c r="I26" s="12"/>
      <c r="J26" s="12"/>
      <c r="K26" s="12"/>
      <c r="L26" s="12"/>
      <c r="M26" s="12"/>
      <c r="N26" s="12"/>
      <c r="O26" s="12"/>
      <c r="P26" s="12"/>
      <c r="Q26" s="12"/>
      <c r="R26" s="12"/>
      <c r="S26" s="12"/>
    </row>
    <row r="27" spans="1:19" x14ac:dyDescent="0.35">
      <c r="A27" s="12"/>
      <c r="B27" s="12" t="s">
        <v>187</v>
      </c>
      <c r="C27" s="36">
        <f>SUMIFS(MultiYear_ProForma!$AF$2:$AF$66, MultiYear_ProForma!$B$2:$B$66, $B$4, MultiYear_ProForma!$C$2:$C$66, "FY2026")</f>
        <v>252007.49311030656</v>
      </c>
      <c r="D27" s="36">
        <f>SUMIFS(MultiYear_ProForma!$AF$2:$AF$66, MultiYear_ProForma!$B$2:$B$66, $B$5, MultiYear_ProForma!$C$2:$C$66, "FY2026")</f>
        <v>-459335.03052499983</v>
      </c>
      <c r="E27" s="12"/>
      <c r="F27" s="12"/>
      <c r="G27" s="12"/>
      <c r="H27" s="12"/>
      <c r="I27" s="12"/>
      <c r="J27" s="12"/>
      <c r="K27" s="12"/>
      <c r="L27" s="12"/>
      <c r="M27" s="12"/>
      <c r="N27" s="12"/>
      <c r="O27" s="12"/>
      <c r="P27" s="12"/>
      <c r="Q27" s="12"/>
      <c r="R27" s="12"/>
      <c r="S27" s="12"/>
    </row>
    <row r="28" spans="1:19" x14ac:dyDescent="0.35">
      <c r="A28" s="12"/>
      <c r="B28" s="12" t="s">
        <v>188</v>
      </c>
      <c r="C28" s="36">
        <f>SUMIFS(MultiYear_ProForma!$AF$2:$AF$66, MultiYear_ProForma!$B$2:$B$66, $B$4, MultiYear_ProForma!$C$2:$C$66, "FY2027")</f>
        <v>349612.68043806497</v>
      </c>
      <c r="D28" s="36">
        <f>SUMIFS(MultiYear_ProForma!$AF$2:$AF$66, MultiYear_ProForma!$B$2:$B$66, $B$5, MultiYear_ProForma!$C$2:$C$66, "FY2027")</f>
        <v>-500524.68659986276</v>
      </c>
      <c r="E28" s="12"/>
      <c r="F28" s="12"/>
      <c r="G28" s="12"/>
      <c r="H28" s="12"/>
      <c r="I28" s="12"/>
      <c r="J28" s="12"/>
      <c r="K28" s="12"/>
      <c r="L28" s="12"/>
      <c r="M28" s="12"/>
      <c r="N28" s="12"/>
      <c r="O28" s="12"/>
      <c r="P28" s="12"/>
      <c r="Q28" s="12"/>
      <c r="R28" s="12"/>
      <c r="S28" s="12"/>
    </row>
    <row r="29" spans="1:19" x14ac:dyDescent="0.35">
      <c r="A29" s="12"/>
      <c r="B29" s="12" t="s">
        <v>189</v>
      </c>
      <c r="C29" s="36">
        <f>SUMIFS(MultiYear_ProForma!$AF$2:$AF$66, MultiYear_ProForma!$B$2:$B$66, $B$4, MultiYear_ProForma!$C$2:$C$66, "FY2028")</f>
        <v>547880.78407011135</v>
      </c>
      <c r="D29" s="36">
        <f>SUMIFS(MultiYear_ProForma!$AF$2:$AF$66, MultiYear_ProForma!$B$2:$B$66, $B$5, MultiYear_ProForma!$C$2:$C$66, "FY2028")</f>
        <v>-542877.76233799849</v>
      </c>
      <c r="E29" s="12"/>
      <c r="F29" s="12"/>
      <c r="G29" s="12"/>
      <c r="H29" s="12"/>
      <c r="I29" s="12"/>
      <c r="J29" s="12"/>
      <c r="K29" s="12"/>
      <c r="L29" s="12"/>
      <c r="M29" s="12"/>
      <c r="N29" s="12"/>
      <c r="O29" s="12"/>
      <c r="P29" s="12"/>
      <c r="Q29" s="12"/>
      <c r="R29" s="12"/>
      <c r="S29" s="12"/>
    </row>
    <row r="30" spans="1:19" x14ac:dyDescent="0.35">
      <c r="A30" s="12"/>
      <c r="B30" s="12" t="s">
        <v>190</v>
      </c>
      <c r="C30" s="36">
        <f>SUMIFS(MultiYear_ProForma!$AF$2:$AF$66, MultiYear_ProForma!$B$2:$B$66, $B$4, MultiYear_ProForma!$C$2:$C$66, "FY2029")</f>
        <v>711002.88495848514</v>
      </c>
      <c r="D30" s="36">
        <f>SUMIFS(MultiYear_ProForma!$AF$2:$AF$66, MultiYear_ProForma!$B$2:$B$66, $B$5, MultiYear_ProForma!$C$2:$C$66, "FY2029")</f>
        <v>-586423.94478316884</v>
      </c>
      <c r="E30" s="12"/>
      <c r="F30" s="12"/>
      <c r="G30" s="12"/>
      <c r="H30" s="12"/>
      <c r="I30" s="12"/>
      <c r="J30" s="12"/>
      <c r="K30" s="12"/>
      <c r="L30" s="12"/>
      <c r="M30" s="12"/>
      <c r="N30" s="12"/>
      <c r="O30" s="12"/>
      <c r="P30" s="12"/>
      <c r="Q30" s="12"/>
      <c r="R30" s="12"/>
      <c r="S30" s="12"/>
    </row>
    <row r="31" spans="1:19" x14ac:dyDescent="0.35">
      <c r="A31" s="12"/>
      <c r="B31" s="12" t="s">
        <v>102</v>
      </c>
      <c r="C31" s="36">
        <f>SUMIFS(MultiYear_ProForma!$AF$2:$AF$66, MultiYear_ProForma!$B$2:$B$66, $B$4, MultiYear_ProForma!$C$2:$C$66, "FY2030")</f>
        <v>815010.4570824476</v>
      </c>
      <c r="D31" s="36">
        <f>SUMIFS(MultiYear_ProForma!$AF$2:$AF$66, MultiYear_ProForma!$B$2:$B$66, $B$5, MultiYear_ProForma!$C$2:$C$66, "FY2030")</f>
        <v>-631193.6658622073</v>
      </c>
      <c r="E31" s="12"/>
      <c r="F31" s="12"/>
      <c r="G31" s="12"/>
      <c r="H31" s="12"/>
      <c r="I31" s="12"/>
      <c r="J31" s="12"/>
      <c r="K31" s="12"/>
      <c r="L31" s="12"/>
      <c r="M31" s="12"/>
      <c r="N31" s="12"/>
      <c r="O31" s="12"/>
      <c r="P31" s="12"/>
      <c r="Q31" s="12"/>
      <c r="R31" s="12"/>
      <c r="S31" s="12"/>
    </row>
    <row r="32" spans="1:19" x14ac:dyDescent="0.35">
      <c r="A32" s="12"/>
      <c r="B32" s="12"/>
      <c r="C32" s="12"/>
      <c r="D32" s="12"/>
      <c r="E32" s="12"/>
      <c r="F32" s="12"/>
      <c r="G32" s="12"/>
      <c r="H32" s="12"/>
      <c r="I32" s="12"/>
      <c r="J32" s="12"/>
      <c r="K32" s="12"/>
      <c r="L32" s="12"/>
      <c r="M32" s="12"/>
      <c r="N32" s="12"/>
      <c r="O32" s="12"/>
      <c r="P32" s="12"/>
      <c r="Q32" s="12"/>
      <c r="R32" s="12"/>
      <c r="S32" s="12"/>
    </row>
    <row r="33" spans="1:19" x14ac:dyDescent="0.35">
      <c r="A33" s="12"/>
      <c r="B33" s="48" t="s">
        <v>191</v>
      </c>
      <c r="C33" s="47"/>
      <c r="D33" s="12"/>
      <c r="E33" s="12"/>
      <c r="F33" s="12"/>
      <c r="G33" s="12"/>
      <c r="H33" s="12"/>
      <c r="I33" s="12"/>
      <c r="J33" s="12"/>
      <c r="K33" s="12"/>
      <c r="L33" s="12"/>
      <c r="M33" s="12"/>
      <c r="N33" s="12"/>
      <c r="O33" s="12"/>
      <c r="P33" s="12"/>
      <c r="Q33" s="12"/>
      <c r="R33" s="12"/>
      <c r="S33" s="12"/>
    </row>
    <row r="34" spans="1:19" x14ac:dyDescent="0.35">
      <c r="A34" s="12"/>
      <c r="B34" s="47" t="s">
        <v>192</v>
      </c>
      <c r="C34" s="47">
        <f>Parameters_Public!C23</f>
        <v>0.6</v>
      </c>
      <c r="D34" s="12"/>
      <c r="E34" s="12"/>
      <c r="F34" s="12"/>
      <c r="G34" s="12"/>
      <c r="H34" s="12"/>
      <c r="I34" s="12"/>
      <c r="J34" s="12"/>
      <c r="K34" s="12"/>
      <c r="L34" s="12"/>
      <c r="M34" s="12"/>
      <c r="N34" s="12"/>
      <c r="O34" s="12"/>
      <c r="P34" s="12"/>
      <c r="Q34" s="12"/>
      <c r="R34" s="12"/>
      <c r="S34" s="12"/>
    </row>
    <row r="35" spans="1:19" x14ac:dyDescent="0.35">
      <c r="A35" s="12"/>
      <c r="B35" s="47" t="s">
        <v>193</v>
      </c>
      <c r="C35" s="47">
        <f>Parameters_Public!C24</f>
        <v>0.85</v>
      </c>
      <c r="D35" s="12"/>
      <c r="E35" s="12"/>
      <c r="F35" s="12"/>
      <c r="G35" s="12"/>
      <c r="H35" s="12"/>
      <c r="I35" s="12"/>
      <c r="J35" s="12"/>
      <c r="K35" s="12"/>
      <c r="L35" s="12"/>
      <c r="M35" s="12"/>
      <c r="N35" s="12"/>
      <c r="O35" s="12"/>
      <c r="P35" s="12"/>
      <c r="Q35" s="12"/>
      <c r="R35" s="12"/>
      <c r="S35" s="12"/>
    </row>
    <row r="36" spans="1:19" x14ac:dyDescent="0.35">
      <c r="A36" s="12"/>
      <c r="B36" s="47" t="s">
        <v>194</v>
      </c>
      <c r="C36" s="47">
        <f>Parameters_Public!C43</f>
        <v>0.6</v>
      </c>
      <c r="D36" s="12"/>
      <c r="E36" s="12"/>
      <c r="F36" s="12"/>
      <c r="G36" s="12"/>
      <c r="H36" s="12"/>
      <c r="I36" s="12"/>
      <c r="J36" s="12"/>
      <c r="K36" s="12"/>
      <c r="L36" s="12"/>
      <c r="M36" s="12"/>
      <c r="N36" s="12"/>
      <c r="O36" s="12"/>
      <c r="P36" s="12"/>
      <c r="Q36" s="12"/>
      <c r="R36" s="12"/>
      <c r="S36" s="12"/>
    </row>
    <row r="37" spans="1:19" x14ac:dyDescent="0.35">
      <c r="A37" s="12"/>
      <c r="B37" s="47" t="s">
        <v>195</v>
      </c>
      <c r="C37" s="47">
        <f>Parameters_Public!C17</f>
        <v>0.15</v>
      </c>
      <c r="D37" s="12"/>
      <c r="E37" s="12"/>
      <c r="F37" s="12"/>
      <c r="G37" s="12"/>
      <c r="H37" s="12"/>
      <c r="I37" s="12"/>
      <c r="J37" s="12"/>
      <c r="K37" s="12"/>
      <c r="L37" s="12"/>
      <c r="M37" s="12"/>
      <c r="N37" s="12"/>
      <c r="O37" s="12"/>
      <c r="P37" s="12"/>
      <c r="Q37" s="12"/>
      <c r="R37" s="12"/>
      <c r="S37" s="12"/>
    </row>
    <row r="38" spans="1:19" x14ac:dyDescent="0.35">
      <c r="A38" s="12"/>
      <c r="B38" s="47" t="s">
        <v>196</v>
      </c>
      <c r="C38" s="47">
        <f>Parameters_Public!C20</f>
        <v>1</v>
      </c>
      <c r="D38" s="12"/>
      <c r="E38" s="12"/>
      <c r="F38" s="12"/>
      <c r="G38" s="12"/>
      <c r="H38" s="12"/>
      <c r="I38" s="12"/>
      <c r="J38" s="12"/>
      <c r="K38" s="12"/>
      <c r="L38" s="12"/>
      <c r="M38" s="12"/>
      <c r="N38" s="12"/>
      <c r="O38" s="12"/>
      <c r="P38" s="12"/>
      <c r="Q38" s="12"/>
      <c r="R38" s="12"/>
      <c r="S38" s="12"/>
    </row>
    <row r="39" spans="1:19" x14ac:dyDescent="0.35">
      <c r="A39" s="12"/>
      <c r="B39" s="47" t="s">
        <v>197</v>
      </c>
      <c r="C39" s="47">
        <f>Control_Center!C10</f>
        <v>7.0000000000000001E-3</v>
      </c>
      <c r="D39" s="12"/>
      <c r="E39" s="12"/>
      <c r="F39" s="12"/>
      <c r="G39" s="12"/>
      <c r="H39" s="12"/>
      <c r="I39" s="12"/>
      <c r="J39" s="12"/>
      <c r="K39" s="12"/>
      <c r="L39" s="12"/>
      <c r="M39" s="12"/>
      <c r="N39" s="12"/>
      <c r="O39" s="12"/>
      <c r="P39" s="12"/>
      <c r="Q39" s="12"/>
      <c r="R39" s="12"/>
      <c r="S39" s="12"/>
    </row>
    <row r="40" spans="1:19" x14ac:dyDescent="0.35">
      <c r="A40" s="12"/>
      <c r="B40" s="47" t="s">
        <v>198</v>
      </c>
      <c r="C40" s="47">
        <f>Control_Center!C11</f>
        <v>1.4999999999999999E-2</v>
      </c>
      <c r="D40" s="12"/>
      <c r="E40" s="12"/>
      <c r="G40" s="12"/>
      <c r="H40" s="12"/>
      <c r="I40" s="12"/>
      <c r="J40" s="12"/>
      <c r="K40" s="12"/>
      <c r="L40" s="12"/>
      <c r="M40" s="12"/>
      <c r="N40" s="12"/>
      <c r="O40" s="12"/>
      <c r="P40" s="12"/>
      <c r="Q40" s="12"/>
      <c r="R40" s="12"/>
      <c r="S40" s="12"/>
    </row>
    <row r="41" spans="1:19" x14ac:dyDescent="0.35">
      <c r="A41" s="12"/>
      <c r="B41" s="47" t="s">
        <v>199</v>
      </c>
      <c r="C41" s="47"/>
      <c r="D41" s="37"/>
      <c r="E41" s="12"/>
      <c r="F41" s="12"/>
      <c r="G41" s="12"/>
      <c r="H41" s="12"/>
      <c r="I41" s="12"/>
      <c r="J41" s="12"/>
      <c r="K41" s="12"/>
      <c r="L41" s="12"/>
      <c r="M41" s="12"/>
      <c r="N41" s="12"/>
      <c r="O41" s="12"/>
      <c r="P41" s="12"/>
      <c r="Q41" s="12"/>
      <c r="R41" s="12"/>
      <c r="S41" s="12"/>
    </row>
    <row r="42" spans="1:19" x14ac:dyDescent="0.35">
      <c r="A42" s="12"/>
      <c r="B42" s="12"/>
      <c r="C42" s="12"/>
      <c r="D42" s="37"/>
      <c r="E42" s="12"/>
      <c r="F42" s="12"/>
      <c r="G42" s="12"/>
      <c r="H42" s="12"/>
      <c r="I42" s="12"/>
      <c r="J42" s="12"/>
      <c r="K42" s="12"/>
      <c r="L42" s="12"/>
      <c r="M42" s="12"/>
      <c r="N42" s="12"/>
      <c r="O42" s="12"/>
      <c r="P42" s="12"/>
      <c r="Q42" s="12"/>
      <c r="R42" s="12"/>
      <c r="S42" s="12"/>
    </row>
    <row r="43" spans="1:19" x14ac:dyDescent="0.35">
      <c r="A43" s="12"/>
      <c r="B43" s="12"/>
      <c r="C43" s="12"/>
      <c r="D43" s="37" t="s">
        <v>200</v>
      </c>
      <c r="E43" s="12"/>
      <c r="F43" s="12"/>
      <c r="G43" s="12"/>
      <c r="H43" s="12"/>
      <c r="I43" s="12"/>
      <c r="J43" s="12"/>
      <c r="K43" s="12"/>
      <c r="L43" s="12"/>
      <c r="M43" s="12"/>
      <c r="N43" s="12"/>
      <c r="O43" s="12"/>
      <c r="P43" s="12"/>
      <c r="Q43" s="12"/>
      <c r="R43" s="12"/>
      <c r="S43" s="12"/>
    </row>
    <row r="44" spans="1:19" x14ac:dyDescent="0.35">
      <c r="A44" s="12"/>
      <c r="B44" s="45" t="s">
        <v>201</v>
      </c>
      <c r="C44" s="36">
        <f>SUMIFS(Capital_Summary!$H$4:$H$83, Capital_Summary!$A$4:$A$83, B4, Capital_Summary!$B$4:$B$83, "FY2026")</f>
        <v>2314479.9999999995</v>
      </c>
      <c r="D44" s="147" t="str">
        <f>""&amp;$B$5&amp;" will be $"&amp;TEXT(ROUND(ABS(C45-C44),0), "#,##0")&amp;" "&amp;IF(C45&gt;C44,"MORE COSTLY","LESS COSTLY")&amp;" than "&amp;$B$4&amp;" in terms of capital investment required "</f>
        <v xml:space="preserve">B1_StatusQuo_Decline will be $2,314,480 LESS COSTLY than A2_Repurpose_Both_lease in terms of capital investment required </v>
      </c>
      <c r="E44" s="136"/>
      <c r="F44" s="136"/>
      <c r="G44" s="136"/>
      <c r="H44" s="136"/>
      <c r="I44" s="136"/>
      <c r="J44" s="12"/>
      <c r="K44" s="12"/>
      <c r="L44" s="12"/>
      <c r="M44" s="12"/>
      <c r="N44" s="12"/>
      <c r="O44" s="12"/>
      <c r="P44" s="12"/>
      <c r="Q44" s="12"/>
      <c r="R44" s="12"/>
      <c r="S44" s="12"/>
    </row>
    <row r="45" spans="1:19" x14ac:dyDescent="0.35">
      <c r="A45" s="12"/>
      <c r="B45" s="46" t="s">
        <v>202</v>
      </c>
      <c r="C45" s="36">
        <f>SUMIFS(Capital_Summary!$H$4:$H$83, Capital_Summary!$A$4:$A$83, B5, Capital_Summary!$B$4:$B$83, "FY2026")</f>
        <v>0</v>
      </c>
      <c r="D45" s="143"/>
      <c r="E45" s="136"/>
      <c r="F45" s="136"/>
      <c r="G45" s="136"/>
      <c r="H45" s="136"/>
      <c r="I45" s="136"/>
      <c r="J45" s="12"/>
      <c r="K45" s="12"/>
      <c r="L45" s="12"/>
      <c r="M45" s="12"/>
      <c r="N45" s="12"/>
      <c r="O45" s="12"/>
      <c r="P45" s="12"/>
      <c r="Q45" s="12"/>
      <c r="R45" s="12"/>
      <c r="S45" s="12"/>
    </row>
    <row r="46" spans="1:19" x14ac:dyDescent="0.35">
      <c r="A46" s="12"/>
      <c r="B46" s="33"/>
      <c r="C46" s="12"/>
      <c r="D46" s="37"/>
      <c r="E46" s="12"/>
      <c r="F46" s="12"/>
      <c r="G46" s="12"/>
      <c r="H46" s="12"/>
      <c r="I46" s="12"/>
      <c r="J46" s="12"/>
      <c r="K46" s="12"/>
      <c r="L46" s="12"/>
      <c r="M46" s="12"/>
      <c r="N46" s="12"/>
      <c r="O46" s="12"/>
      <c r="P46" s="12"/>
      <c r="Q46" s="12"/>
      <c r="R46" s="12"/>
      <c r="S46" s="12"/>
    </row>
    <row r="47" spans="1:19" x14ac:dyDescent="0.35">
      <c r="A47" s="12"/>
      <c r="B47" s="45" t="s">
        <v>203</v>
      </c>
      <c r="C47" s="3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540000</v>
      </c>
      <c r="D47" s="147" t="str">
        <f>"On average from 2026 through 2030, "&amp;$B$5&amp;" will be $"&amp;TEXT(ABS(ROUND(C49,0)), "#,##0")&amp;" "&amp;IF(C49&lt;0,"MORE COSTLY","LESS COSTLY")&amp;" to operate annually than "&amp;$B$4&amp;""</f>
        <v>On average from 2026 through 2030, B1_StatusQuo_Decline will be $980,000 MORE COSTLY to operate annually than A2_Repurpose_Both_lease</v>
      </c>
      <c r="E47" s="136"/>
      <c r="F47" s="136"/>
      <c r="G47" s="136"/>
      <c r="H47" s="136"/>
      <c r="I47" s="136"/>
      <c r="J47" s="12"/>
      <c r="K47" s="12"/>
      <c r="L47" s="12"/>
      <c r="M47" s="12"/>
      <c r="N47" s="12"/>
      <c r="O47" s="12"/>
      <c r="P47" s="12"/>
      <c r="Q47" s="12"/>
      <c r="R47" s="12"/>
      <c r="S47" s="12"/>
    </row>
    <row r="48" spans="1:19" x14ac:dyDescent="0.35">
      <c r="A48" s="12"/>
      <c r="B48" s="46" t="s">
        <v>204</v>
      </c>
      <c r="C48" s="3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-440000</v>
      </c>
      <c r="D48" s="143"/>
      <c r="E48" s="136"/>
      <c r="F48" s="136"/>
      <c r="G48" s="136"/>
      <c r="H48" s="136"/>
      <c r="I48" s="136"/>
      <c r="J48" s="12"/>
      <c r="K48" s="12"/>
      <c r="L48" s="12"/>
      <c r="M48" s="12"/>
      <c r="N48" s="12"/>
      <c r="O48" s="12"/>
      <c r="P48" s="12"/>
      <c r="Q48" s="12"/>
      <c r="R48" s="12"/>
      <c r="S48" s="12"/>
    </row>
    <row r="49" spans="1:19" x14ac:dyDescent="0.35">
      <c r="A49" s="12"/>
      <c r="B49" s="35" t="s">
        <v>205</v>
      </c>
      <c r="C49" s="36">
        <f>ROUND(C48-C47, -4)</f>
        <v>-980000</v>
      </c>
      <c r="D49" s="143"/>
      <c r="E49" s="136"/>
      <c r="F49" s="136"/>
      <c r="G49" s="136"/>
      <c r="H49" s="136"/>
      <c r="I49" s="136"/>
      <c r="J49" s="12"/>
      <c r="K49" s="12"/>
      <c r="L49" s="12"/>
      <c r="M49" s="12"/>
      <c r="N49" s="12"/>
      <c r="O49" s="12"/>
      <c r="P49" s="12"/>
      <c r="Q49" s="12"/>
      <c r="R49" s="12"/>
      <c r="S49" s="12"/>
    </row>
    <row r="50" spans="1:19" x14ac:dyDescent="0.35">
      <c r="A50" s="12"/>
      <c r="B50" s="33"/>
      <c r="C50" s="12"/>
      <c r="D50" s="37"/>
      <c r="E50" s="12"/>
      <c r="F50" s="12"/>
      <c r="G50" s="12"/>
      <c r="H50" s="12"/>
      <c r="I50" s="12"/>
      <c r="J50" s="12"/>
      <c r="K50" s="12"/>
      <c r="L50" s="12"/>
      <c r="M50" s="12"/>
      <c r="N50" s="12"/>
      <c r="O50" s="12"/>
      <c r="P50" s="12"/>
      <c r="Q50" s="12"/>
      <c r="R50" s="12"/>
      <c r="S50" s="12"/>
    </row>
    <row r="51" spans="1:19" x14ac:dyDescent="0.35">
      <c r="A51" s="12"/>
      <c r="B51" s="33"/>
      <c r="C51" s="12"/>
      <c r="D51" s="37"/>
      <c r="E51" s="12"/>
      <c r="F51" s="12"/>
      <c r="G51" s="12"/>
      <c r="H51" s="12"/>
      <c r="I51" s="12"/>
      <c r="J51" s="12"/>
      <c r="K51" s="12"/>
      <c r="L51" s="12"/>
      <c r="M51" s="12"/>
      <c r="N51" s="12"/>
      <c r="O51" s="12"/>
      <c r="P51" s="12"/>
      <c r="Q51" s="12"/>
      <c r="R51" s="12"/>
      <c r="S51" s="12"/>
    </row>
    <row r="52" spans="1:19" ht="14.5" customHeight="1" x14ac:dyDescent="0.35">
      <c r="A52" s="12"/>
      <c r="B52" s="45" t="s">
        <v>206</v>
      </c>
      <c r="C52" s="36">
        <f>ROUND(SUMIFS(MultiYear_ProForma!$AF$2:$AF$66, MultiYear_ProForma!$B$2:$B$66, $B$4, MultiYear_ProForma!$C$2:$C$66, "FY2030"), -4)</f>
        <v>820000</v>
      </c>
      <c r="D52" s="147" t="str">
        <f>"By 2030, "&amp;$B$5&amp;" will be $"&amp;TEXT(ABS(ROUND(C54,0)), "#,##0")&amp;" "&amp;IF(C54&lt;0,"MORE COSTLY","LESS COSTLY")&amp;" to operate annually than "&amp;$B$4&amp;""</f>
        <v>By 2030, B1_StatusQuo_Decline will be $1,450,000 MORE COSTLY to operate annually than A2_Repurpose_Both_lease</v>
      </c>
      <c r="E52" s="136"/>
      <c r="F52" s="136"/>
      <c r="G52" s="136"/>
      <c r="H52" s="136"/>
      <c r="I52" s="136"/>
      <c r="J52" s="12"/>
      <c r="K52" s="12"/>
      <c r="L52" s="12"/>
      <c r="M52" s="12"/>
      <c r="N52" s="12"/>
      <c r="O52" s="12"/>
      <c r="P52" s="12"/>
      <c r="Q52" s="12"/>
      <c r="R52" s="12"/>
      <c r="S52" s="12"/>
    </row>
    <row r="53" spans="1:19" x14ac:dyDescent="0.35">
      <c r="A53" s="12"/>
      <c r="B53" s="46" t="s">
        <v>207</v>
      </c>
      <c r="C53" s="36">
        <f>ROUND(SUMIFS(MultiYear_ProForma!$AF$2:$AF$66, MultiYear_ProForma!$B$2:$B$66, $B$5, MultiYear_ProForma!$C$2:$C$66, "FY2030"), -4)</f>
        <v>-630000</v>
      </c>
      <c r="D53" s="143"/>
      <c r="E53" s="136"/>
      <c r="F53" s="136"/>
      <c r="G53" s="136"/>
      <c r="H53" s="136"/>
      <c r="I53" s="136"/>
      <c r="J53" s="12"/>
      <c r="K53" s="12"/>
      <c r="L53" s="12"/>
      <c r="M53" s="12"/>
      <c r="N53" s="12"/>
      <c r="O53" s="12"/>
      <c r="P53" s="12"/>
      <c r="Q53" s="12"/>
      <c r="R53" s="12"/>
      <c r="S53" s="12"/>
    </row>
    <row r="54" spans="1:19" x14ac:dyDescent="0.35">
      <c r="A54" s="12"/>
      <c r="B54" s="35" t="s">
        <v>208</v>
      </c>
      <c r="C54" s="36">
        <f>ROUND(C53-C52, -4)</f>
        <v>-1450000</v>
      </c>
      <c r="D54" s="143"/>
      <c r="E54" s="136"/>
      <c r="F54" s="136"/>
      <c r="G54" s="136"/>
      <c r="H54" s="136"/>
      <c r="I54" s="136"/>
      <c r="J54" s="12"/>
      <c r="K54" s="12"/>
      <c r="L54" s="12"/>
      <c r="M54" s="12"/>
      <c r="N54" s="12"/>
      <c r="O54" s="12"/>
      <c r="P54" s="12"/>
      <c r="Q54" s="12"/>
      <c r="R54" s="12"/>
      <c r="S54" s="12"/>
    </row>
    <row r="55" spans="1:19" x14ac:dyDescent="0.35">
      <c r="A55" s="12"/>
      <c r="B55" s="35"/>
      <c r="C55" s="36"/>
      <c r="D55" s="12"/>
      <c r="E55" s="12"/>
      <c r="F55" s="12"/>
      <c r="G55" s="12"/>
      <c r="H55" s="12"/>
      <c r="I55" s="12"/>
      <c r="J55" s="12"/>
      <c r="K55" s="12"/>
      <c r="L55" s="12"/>
      <c r="M55" s="12"/>
      <c r="N55" s="12"/>
      <c r="O55" s="12"/>
      <c r="P55" s="12"/>
      <c r="Q55" s="12"/>
      <c r="R55" s="12"/>
      <c r="S55" s="12"/>
    </row>
    <row r="56" spans="1:19" x14ac:dyDescent="0.35">
      <c r="A56" s="12"/>
      <c r="B56" s="45" t="s">
        <v>209</v>
      </c>
      <c r="C56" s="38">
        <f>SUMIFS(MultiYear_ProForma!$N$2:$N$66, MultiYear_ProForma!$B$2:$B$66, $B$4, MultiYear_ProForma!$C$2:$C$66, "FY2026")</f>
        <v>553</v>
      </c>
      <c r="D56" s="142" t="str">
        <f>""&amp;$B$5&amp;" will displace "&amp;ROUND(ABS(C57-C56),0)&amp;" "&amp;IF(C57&gt;C56,"MORE STUDENTS","FEWER STUDENTS")&amp;" than "&amp;$B$4&amp;""</f>
        <v>B1_StatusQuo_Decline will displace 553 FEWER STUDENTS than A2_Repurpose_Both_lease</v>
      </c>
      <c r="E56" s="136"/>
      <c r="F56" s="136"/>
      <c r="G56" s="136"/>
      <c r="H56" s="136"/>
      <c r="I56" s="136"/>
      <c r="J56" s="12"/>
      <c r="K56" s="12"/>
      <c r="L56" s="12"/>
      <c r="M56" s="12"/>
      <c r="N56" s="12"/>
      <c r="O56" s="12"/>
      <c r="P56" s="12"/>
      <c r="Q56" s="12"/>
      <c r="R56" s="12"/>
      <c r="S56" s="12"/>
    </row>
    <row r="57" spans="1:19" ht="14.5" customHeight="1" x14ac:dyDescent="0.35">
      <c r="A57" s="12"/>
      <c r="B57" s="46" t="s">
        <v>210</v>
      </c>
      <c r="C57" s="38">
        <f>SUMIFS(MultiYear_ProForma!$N$2:$N$66, MultiYear_ProForma!$B$2:$B$66, $B$5, MultiYear_ProForma!$C$2:$C$66, "FY2026")</f>
        <v>0</v>
      </c>
      <c r="D57" s="143"/>
      <c r="E57" s="136"/>
      <c r="F57" s="136"/>
      <c r="G57" s="136"/>
      <c r="H57" s="136"/>
      <c r="I57" s="136"/>
      <c r="J57" s="12"/>
      <c r="K57" s="12"/>
      <c r="L57" s="12"/>
      <c r="M57" s="12"/>
      <c r="N57" s="12"/>
      <c r="O57" s="12"/>
      <c r="P57" s="12"/>
      <c r="Q57" s="12"/>
      <c r="R57" s="12"/>
      <c r="S57" s="12"/>
    </row>
    <row r="58" spans="1:19" x14ac:dyDescent="0.35">
      <c r="A58" s="12"/>
      <c r="B58" s="35"/>
      <c r="C58" s="38"/>
      <c r="D58" s="12"/>
      <c r="E58" s="12"/>
      <c r="F58" s="12"/>
      <c r="G58" s="12"/>
      <c r="H58" s="12"/>
      <c r="I58" s="12"/>
      <c r="J58" s="12"/>
      <c r="K58" s="12"/>
      <c r="L58" s="12"/>
      <c r="M58" s="12"/>
      <c r="N58" s="12"/>
      <c r="O58" s="12"/>
      <c r="P58" s="12"/>
      <c r="Q58" s="12"/>
      <c r="R58" s="12"/>
      <c r="S58" s="12"/>
    </row>
    <row r="59" spans="1:19" x14ac:dyDescent="0.35">
      <c r="A59" s="12"/>
      <c r="B59" s="45" t="s">
        <v>211</v>
      </c>
      <c r="C59" s="38">
        <f>SUMIFS(MultiYear_ProForma!$AC$2:$AC$66, MultiYear_ProForma!$B$2:$B$66, $B$4, MultiYear_ProForma!$C$2:$C$66, "FY2030")</f>
        <v>405.79999999999995</v>
      </c>
      <c r="D59" s="142" t="str">
        <f>""&amp;$B$5&amp;" will serve "&amp;ROUND(ABS(C60-C59),0)&amp;" "&amp;IF(C60&gt;C59,"MORE STUDENTS","FEWER STUDENTS")&amp;" than "&amp;$B$4&amp;""</f>
        <v>B1_StatusQuo_Decline will serve 104 MORE STUDENTS than A2_Repurpose_Both_lease</v>
      </c>
      <c r="E59" s="136"/>
      <c r="F59" s="136"/>
      <c r="G59" s="136"/>
      <c r="H59" s="136"/>
      <c r="I59" s="136"/>
      <c r="J59" s="12"/>
      <c r="K59" s="12"/>
      <c r="L59" s="12"/>
      <c r="M59" s="12"/>
      <c r="N59" s="12"/>
      <c r="O59" s="12"/>
      <c r="P59" s="12"/>
      <c r="Q59" s="12"/>
      <c r="R59" s="12"/>
      <c r="S59" s="12"/>
    </row>
    <row r="60" spans="1:19" x14ac:dyDescent="0.35">
      <c r="A60" s="12"/>
      <c r="B60" s="46" t="s">
        <v>212</v>
      </c>
      <c r="C60" s="38">
        <f>SUMIFS(MultiYear_ProForma!$AC$2:$AC$66, MultiYear_ProForma!$B$2:$B$66, $B$5, MultiYear_ProForma!$C$2:$C$66, "FY2030")</f>
        <v>510.06959247999993</v>
      </c>
      <c r="D60" s="143"/>
      <c r="E60" s="136"/>
      <c r="F60" s="136"/>
      <c r="G60" s="136"/>
      <c r="H60" s="136"/>
      <c r="I60" s="136"/>
      <c r="J60" s="12"/>
      <c r="K60" s="12"/>
      <c r="L60" s="12"/>
      <c r="M60" s="12"/>
      <c r="N60" s="12"/>
      <c r="O60" s="12"/>
      <c r="P60" s="12"/>
      <c r="Q60" s="12"/>
      <c r="R60" s="12"/>
      <c r="S60" s="12"/>
    </row>
    <row r="61" spans="1:19" x14ac:dyDescent="0.35">
      <c r="A61" s="12"/>
      <c r="B61" s="12"/>
      <c r="C61" s="12"/>
      <c r="D61" s="12"/>
      <c r="E61" s="12"/>
      <c r="F61" s="12"/>
      <c r="G61" s="12"/>
      <c r="H61" s="12"/>
      <c r="I61" s="12"/>
      <c r="J61" s="12"/>
      <c r="K61" s="12"/>
      <c r="L61" s="12"/>
      <c r="M61" s="12"/>
      <c r="N61" s="12"/>
      <c r="O61" s="12"/>
      <c r="P61" s="12"/>
      <c r="Q61" s="12"/>
      <c r="R61" s="12"/>
      <c r="S61" s="12"/>
    </row>
    <row r="62" spans="1:19" x14ac:dyDescent="0.35">
      <c r="A62" s="12"/>
      <c r="B62" s="12"/>
      <c r="C62" s="12"/>
      <c r="D62" s="12"/>
      <c r="E62" s="12"/>
      <c r="F62" s="12"/>
      <c r="G62" s="12"/>
      <c r="H62" s="12"/>
      <c r="I62" s="12"/>
      <c r="J62" s="12"/>
      <c r="K62" s="12"/>
      <c r="L62" s="12"/>
      <c r="M62" s="12"/>
      <c r="N62" s="12"/>
      <c r="O62" s="12"/>
      <c r="P62" s="12"/>
      <c r="Q62" s="12"/>
      <c r="R62" s="12"/>
      <c r="S62" s="12"/>
    </row>
    <row r="63" spans="1:19" x14ac:dyDescent="0.35">
      <c r="A63" s="12"/>
      <c r="B63" s="12"/>
      <c r="C63" s="12"/>
      <c r="D63" s="12"/>
      <c r="E63" s="12"/>
      <c r="F63" s="12"/>
      <c r="G63" s="12"/>
      <c r="H63" s="12"/>
      <c r="I63" s="12"/>
      <c r="J63" s="12"/>
      <c r="K63" s="12"/>
      <c r="L63" s="12"/>
      <c r="M63" s="12"/>
      <c r="N63" s="12"/>
      <c r="O63" s="12"/>
      <c r="P63" s="12"/>
      <c r="Q63" s="12"/>
      <c r="R63" s="12"/>
      <c r="S63" s="12"/>
    </row>
    <row r="64" spans="1:19" x14ac:dyDescent="0.35">
      <c r="A64" s="12"/>
      <c r="B64" s="12"/>
      <c r="C64" s="12"/>
      <c r="D64" s="12"/>
      <c r="E64" s="12"/>
      <c r="F64" s="12"/>
      <c r="G64" s="12"/>
      <c r="H64" s="12"/>
      <c r="I64" s="12"/>
      <c r="J64" s="12"/>
      <c r="K64" s="12"/>
      <c r="L64" s="12"/>
      <c r="M64" s="12"/>
      <c r="N64" s="12"/>
      <c r="O64" s="12"/>
      <c r="P64" s="12"/>
      <c r="Q64" s="12"/>
      <c r="R64" s="12"/>
      <c r="S64" s="12"/>
    </row>
    <row r="65" spans="1:19" x14ac:dyDescent="0.35">
      <c r="A65" s="12"/>
      <c r="B65" s="12"/>
      <c r="C65" s="12"/>
      <c r="D65" s="12"/>
      <c r="E65" s="12"/>
      <c r="F65" s="12"/>
      <c r="G65" s="12"/>
      <c r="H65" s="12"/>
      <c r="I65" s="12"/>
      <c r="J65" s="12"/>
      <c r="K65" s="12"/>
      <c r="L65" s="12"/>
      <c r="M65" s="12"/>
      <c r="N65" s="12"/>
      <c r="O65" s="12"/>
      <c r="P65" s="12"/>
      <c r="Q65" s="12"/>
      <c r="R65" s="12"/>
      <c r="S65" s="12"/>
    </row>
    <row r="66" spans="1:19" x14ac:dyDescent="0.35">
      <c r="A66" s="12"/>
      <c r="B66" s="33"/>
      <c r="C66" s="12"/>
      <c r="D66" s="12"/>
      <c r="E66" s="12"/>
      <c r="F66" s="12"/>
      <c r="G66" s="12"/>
      <c r="H66" s="12"/>
      <c r="I66" s="12"/>
      <c r="J66" s="12"/>
      <c r="K66" s="12"/>
      <c r="L66" s="12"/>
      <c r="M66" s="12"/>
      <c r="N66" s="12"/>
      <c r="O66" s="12"/>
      <c r="P66" s="12"/>
      <c r="Q66" s="12"/>
      <c r="R66" s="12"/>
      <c r="S66" s="12"/>
    </row>
    <row r="67" spans="1:19" x14ac:dyDescent="0.35">
      <c r="A67" s="12"/>
      <c r="B67" s="12"/>
      <c r="C67" s="12"/>
      <c r="D67" s="12"/>
      <c r="E67" s="12"/>
      <c r="F67" s="12"/>
      <c r="G67" s="12"/>
      <c r="H67" s="12"/>
      <c r="I67" s="12"/>
      <c r="J67" s="12"/>
      <c r="K67" s="12"/>
      <c r="L67" s="12"/>
      <c r="M67" s="12"/>
      <c r="N67" s="12"/>
      <c r="O67" s="12"/>
      <c r="P67" s="12"/>
      <c r="Q67" s="12"/>
      <c r="R67" s="12"/>
      <c r="S67" s="12"/>
    </row>
    <row r="68" spans="1:19" x14ac:dyDescent="0.35">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32"/>
  <sheetViews>
    <sheetView workbookViewId="0">
      <selection activeCell="C3" sqref="C3"/>
    </sheetView>
  </sheetViews>
  <sheetFormatPr defaultRowHeight="14.5" x14ac:dyDescent="0.35"/>
  <cols>
    <col min="1" max="1" width="3.81640625" customWidth="1"/>
    <col min="2" max="2" width="53.81640625" customWidth="1"/>
    <col min="3" max="3" width="21.1796875" bestFit="1" customWidth="1"/>
    <col min="4" max="4" width="17.81640625" customWidth="1"/>
  </cols>
  <sheetData>
    <row r="1" spans="1:22" ht="15.5" customHeight="1" x14ac:dyDescent="0.35">
      <c r="A1" s="12"/>
      <c r="B1" s="80" t="s">
        <v>213</v>
      </c>
      <c r="C1" s="12"/>
      <c r="D1" s="12"/>
      <c r="E1" s="12"/>
      <c r="F1" s="12"/>
      <c r="G1" s="12"/>
      <c r="H1" s="12"/>
      <c r="I1" s="12"/>
      <c r="J1" s="12"/>
      <c r="K1" s="12"/>
      <c r="L1" s="12"/>
      <c r="M1" s="12"/>
      <c r="N1" s="12"/>
      <c r="O1" s="12"/>
      <c r="P1" s="12"/>
      <c r="Q1" s="12"/>
      <c r="R1" s="12"/>
      <c r="S1" s="12"/>
      <c r="T1" s="12"/>
      <c r="U1" s="12"/>
      <c r="V1" s="12"/>
    </row>
    <row r="2" spans="1:22" x14ac:dyDescent="0.35">
      <c r="A2" s="12"/>
      <c r="B2" s="12"/>
      <c r="C2" s="12"/>
      <c r="D2" s="12"/>
      <c r="E2" s="12"/>
      <c r="F2" s="12"/>
      <c r="G2" s="12"/>
      <c r="H2" s="12"/>
      <c r="I2" s="12"/>
      <c r="J2" s="12"/>
      <c r="K2" s="12"/>
      <c r="L2" s="12"/>
      <c r="M2" s="12"/>
      <c r="N2" s="12"/>
      <c r="O2" s="12"/>
      <c r="P2" s="12"/>
      <c r="Q2" s="12"/>
      <c r="R2" s="12"/>
      <c r="S2" s="12"/>
      <c r="T2" s="12"/>
      <c r="U2" s="12"/>
      <c r="V2" s="12"/>
    </row>
    <row r="3" spans="1:22" x14ac:dyDescent="0.35">
      <c r="A3" s="12"/>
      <c r="B3" s="65" t="s">
        <v>214</v>
      </c>
      <c r="C3" s="22" t="s">
        <v>651</v>
      </c>
      <c r="D3" s="12"/>
      <c r="E3" s="12"/>
      <c r="F3" s="12"/>
      <c r="G3" s="12"/>
      <c r="H3" s="12"/>
      <c r="I3" s="12"/>
      <c r="J3" s="12"/>
      <c r="K3" s="12"/>
      <c r="L3" s="12"/>
      <c r="M3" s="12"/>
      <c r="N3" s="12"/>
      <c r="O3" s="12"/>
      <c r="P3" s="12"/>
      <c r="Q3" s="12"/>
      <c r="R3" s="12"/>
      <c r="S3" s="12"/>
      <c r="T3" s="12"/>
      <c r="U3" s="12"/>
      <c r="V3" s="12"/>
    </row>
    <row r="4" spans="1:22" x14ac:dyDescent="0.35">
      <c r="A4" s="12"/>
      <c r="B4" s="12"/>
      <c r="C4" s="12"/>
      <c r="D4" s="12"/>
      <c r="E4" s="12"/>
      <c r="F4" s="12"/>
      <c r="G4" s="12"/>
      <c r="H4" s="12"/>
      <c r="I4" s="12"/>
      <c r="J4" s="12"/>
      <c r="K4" s="12"/>
      <c r="L4" s="12"/>
      <c r="M4" s="12"/>
      <c r="N4" s="12"/>
      <c r="O4" s="12"/>
      <c r="P4" s="12"/>
      <c r="Q4" s="12"/>
      <c r="R4" s="12"/>
      <c r="S4" s="12"/>
      <c r="T4" s="12"/>
      <c r="U4" s="12"/>
      <c r="V4" s="12"/>
    </row>
    <row r="5" spans="1:22" x14ac:dyDescent="0.35">
      <c r="A5" s="12"/>
      <c r="B5" s="56" t="s">
        <v>215</v>
      </c>
      <c r="C5" s="57" t="s">
        <v>187</v>
      </c>
      <c r="D5" s="57" t="s">
        <v>102</v>
      </c>
      <c r="E5" s="12"/>
      <c r="F5" s="12"/>
      <c r="G5" s="12"/>
      <c r="H5" s="12"/>
      <c r="I5" s="12"/>
      <c r="J5" s="12"/>
      <c r="K5" s="12"/>
      <c r="L5" s="12"/>
      <c r="M5" s="12"/>
      <c r="N5" s="12"/>
      <c r="O5" s="12"/>
      <c r="P5" s="12"/>
      <c r="Q5" s="12"/>
      <c r="R5" s="12"/>
      <c r="S5" s="12"/>
      <c r="T5" s="12"/>
      <c r="U5" s="12"/>
      <c r="V5" s="12"/>
    </row>
    <row r="6" spans="1:22" x14ac:dyDescent="0.35">
      <c r="A6" s="12"/>
      <c r="B6" s="58" t="s">
        <v>216</v>
      </c>
      <c r="C6" s="59">
        <f>INDEX(YearMap!$I$2:$I$6, MATCH("FY2026",YearMap!$A$2:$A$6,0))+IF(Override_toggle=1, INDEX(YearMap!$O$2:$O$6, MATCH("FY2026",YearMap!$A$2:$A$6,0)),0)+INDEX(YearMap!$P$2:$P$6, MATCH("FY2026",YearMap!$A$2:$A$6,0))-INDEX(YearMap!$B$2:$B$6, MATCH("FY2026",YearMap!$A$2:$A$6,0))-INDEX(YearMap!$Q$2:$Q$6, MATCH("FY2026",YearMap!$A$2:$A$6,0))</f>
        <v>1609.6366636528037</v>
      </c>
      <c r="D6" s="59">
        <f>INDEX(YearMap!$I$2:$I$6, MATCH("FY2030",YearMap!$A$2:$A$6,0))+IF(Override_toggle=1, INDEX(YearMap!$O$2:$O$6, MATCH("FY2030",YearMap!$A$2:$A$6,0)),0)+INDEX(YearMap!$P$2:$P$6, MATCH("FY2030",YearMap!$A$2:$A$6,0))-INDEX(YearMap!$B$2:$B$6, MATCH("FY2030",YearMap!$A$2:$A$6,0))-INDEX(YearMap!$Q$2:$Q$6, MATCH("FY2030",YearMap!$A$2:$A$6,0))</f>
        <v>1937.5002766875823</v>
      </c>
      <c r="E6" s="12"/>
      <c r="F6" s="12"/>
      <c r="G6" s="12"/>
      <c r="H6" s="12"/>
      <c r="I6" s="12"/>
      <c r="J6" s="12"/>
      <c r="K6" s="12"/>
      <c r="L6" s="12"/>
      <c r="M6" s="12"/>
      <c r="N6" s="12"/>
      <c r="O6" s="12"/>
      <c r="P6" s="12"/>
      <c r="Q6" s="12"/>
      <c r="R6" s="12"/>
      <c r="S6" s="12"/>
      <c r="T6" s="12"/>
      <c r="U6" s="12"/>
      <c r="V6" s="12"/>
    </row>
    <row r="7" spans="1:22" x14ac:dyDescent="0.35">
      <c r="A7" s="12"/>
      <c r="B7" s="60" t="s">
        <v>217</v>
      </c>
      <c r="C7" s="61">
        <f>SUMIFS(MultiYear_ProForma!$AF$2:$AF$66,MultiYear_ProForma!$B$2:$B$66,$C$3,MultiYear_ProForma!$C$2:$C$66,"FY2026")</f>
        <v>36009.647332676686</v>
      </c>
      <c r="D7" s="61">
        <f>SUMIFS(MultiYear_ProForma!$AF$2:$AF$66,MultiYear_ProForma!$B$2:$B$66,$C$3,MultiYear_ProForma!$C$2:$C$66,"FY2030")</f>
        <v>570325.26894792262</v>
      </c>
      <c r="E7" s="12"/>
      <c r="F7" s="12"/>
      <c r="G7" s="12"/>
      <c r="H7" s="12"/>
      <c r="I7" s="12"/>
      <c r="J7" s="12"/>
      <c r="K7" s="12"/>
      <c r="L7" s="12"/>
      <c r="M7" s="12"/>
      <c r="N7" s="12"/>
      <c r="O7" s="12"/>
      <c r="P7" s="12"/>
      <c r="Q7" s="12"/>
      <c r="R7" s="12"/>
      <c r="S7" s="12"/>
      <c r="T7" s="12"/>
      <c r="U7" s="12"/>
      <c r="V7" s="12"/>
    </row>
    <row r="8" spans="1:22" x14ac:dyDescent="0.35">
      <c r="A8" s="12"/>
      <c r="B8" s="62" t="s">
        <v>218</v>
      </c>
      <c r="C8" s="63">
        <f>IFERROR(MAX(0,-$C$7/$C$6),"")</f>
        <v>0</v>
      </c>
      <c r="D8" s="63">
        <f>IFERROR(MAX(0,-$D$7/$D$6),"")</f>
        <v>0</v>
      </c>
      <c r="E8" s="12"/>
      <c r="F8" s="12"/>
      <c r="G8" s="12"/>
      <c r="H8" s="12"/>
      <c r="I8" s="12"/>
      <c r="J8" s="12"/>
      <c r="K8" s="12"/>
      <c r="L8" s="12"/>
      <c r="M8" s="12"/>
      <c r="N8" s="12"/>
      <c r="O8" s="12"/>
      <c r="P8" s="12"/>
      <c r="Q8" s="12"/>
      <c r="R8" s="12"/>
      <c r="S8" s="12"/>
      <c r="T8" s="12"/>
      <c r="U8" s="12"/>
      <c r="V8" s="12"/>
    </row>
    <row r="9" spans="1:22" x14ac:dyDescent="0.35">
      <c r="A9" s="12"/>
      <c r="B9" s="55"/>
      <c r="C9" s="33"/>
      <c r="D9" s="33"/>
      <c r="E9" s="12"/>
      <c r="F9" s="12"/>
      <c r="G9" s="12"/>
      <c r="H9" s="12"/>
      <c r="I9" s="12"/>
      <c r="J9" s="12"/>
      <c r="K9" s="12"/>
      <c r="L9" s="12"/>
      <c r="M9" s="12"/>
      <c r="N9" s="12"/>
      <c r="O9" s="12"/>
      <c r="P9" s="12"/>
      <c r="Q9" s="12"/>
      <c r="R9" s="12"/>
      <c r="S9" s="12"/>
      <c r="T9" s="12"/>
      <c r="U9" s="12"/>
      <c r="V9" s="12"/>
    </row>
    <row r="10" spans="1:22" x14ac:dyDescent="0.35">
      <c r="A10" s="12"/>
      <c r="B10" s="64" t="s">
        <v>200</v>
      </c>
      <c r="C10" s="40"/>
      <c r="D10" s="40"/>
      <c r="E10" s="12"/>
      <c r="F10" s="12"/>
      <c r="G10" s="12"/>
      <c r="H10" s="12"/>
      <c r="I10" s="12"/>
      <c r="J10" s="12"/>
      <c r="K10" s="12"/>
      <c r="L10" s="12"/>
      <c r="M10" s="12"/>
      <c r="N10" s="12"/>
      <c r="O10" s="12"/>
      <c r="P10" s="12"/>
      <c r="Q10" s="12"/>
      <c r="R10" s="12"/>
      <c r="S10" s="12"/>
      <c r="T10" s="12"/>
      <c r="U10" s="12"/>
      <c r="V10" s="12"/>
    </row>
    <row r="11" spans="1:22" ht="31" customHeight="1" x14ac:dyDescent="0.35">
      <c r="A11" s="12"/>
      <c r="B11" s="148" t="str">
        <f>IF(D8=0, "The "&amp;C3&amp;" is budget neutral or better given current assumptions in the model; additional enrollment is not necessary.", "Given current assumptions in the model, to be budget neutral by FY2030, the "&amp;C3&amp;" scenario requires enrollment of "&amp;ROUND(D8, 0)&amp;" additional students.")</f>
        <v>The D2_Repurpose_Pima_lease_EchoGHub_EchoTargets is budget neutral or better given current assumptions in the model; additional enrollment is not necessary.</v>
      </c>
      <c r="C11" s="149"/>
      <c r="D11" s="149"/>
      <c r="E11" s="12"/>
      <c r="F11" s="12"/>
      <c r="G11" s="12"/>
      <c r="H11" s="12"/>
      <c r="I11" s="12"/>
      <c r="J11" s="12"/>
      <c r="K11" s="12"/>
      <c r="L11" s="12"/>
      <c r="M11" s="12"/>
      <c r="N11" s="12"/>
      <c r="O11" s="12"/>
      <c r="P11" s="12"/>
      <c r="Q11" s="12"/>
      <c r="R11" s="12"/>
      <c r="S11" s="12"/>
      <c r="T11" s="12"/>
      <c r="U11" s="12"/>
      <c r="V11" s="12"/>
    </row>
    <row r="12" spans="1:22" x14ac:dyDescent="0.35">
      <c r="A12" s="12"/>
      <c r="B12" s="55"/>
      <c r="C12" s="33"/>
      <c r="D12" s="33"/>
      <c r="E12" s="12"/>
      <c r="F12" s="12"/>
      <c r="G12" s="12"/>
      <c r="H12" s="12"/>
      <c r="I12" s="12"/>
      <c r="J12" s="12"/>
      <c r="K12" s="12"/>
      <c r="L12" s="12"/>
      <c r="M12" s="12"/>
      <c r="N12" s="12"/>
      <c r="O12" s="12"/>
      <c r="P12" s="12"/>
      <c r="Q12" s="12"/>
      <c r="R12" s="12"/>
      <c r="S12" s="12"/>
      <c r="T12" s="12"/>
      <c r="U12" s="12"/>
      <c r="V12" s="12"/>
    </row>
    <row r="13" spans="1:22" x14ac:dyDescent="0.35">
      <c r="A13" s="12"/>
      <c r="B13" s="54" t="s">
        <v>219</v>
      </c>
      <c r="C13" s="12"/>
      <c r="D13" s="12"/>
      <c r="E13" s="12"/>
      <c r="F13" s="12"/>
      <c r="G13" s="12"/>
      <c r="H13" s="12"/>
      <c r="I13" s="12"/>
      <c r="J13" s="12"/>
      <c r="K13" s="12"/>
      <c r="L13" s="12"/>
      <c r="M13" s="12"/>
      <c r="N13" s="12"/>
      <c r="O13" s="12"/>
      <c r="P13" s="12"/>
      <c r="Q13" s="12"/>
      <c r="R13" s="12"/>
      <c r="S13" s="12"/>
      <c r="T13" s="12"/>
      <c r="U13" s="12"/>
      <c r="V13" s="12"/>
    </row>
    <row r="14" spans="1:22" x14ac:dyDescent="0.35">
      <c r="A14" s="12"/>
      <c r="B14" s="54" t="s">
        <v>220</v>
      </c>
      <c r="C14" s="12"/>
      <c r="D14" s="12"/>
      <c r="E14" s="12"/>
      <c r="F14" s="12"/>
      <c r="G14" s="12"/>
      <c r="H14" s="12"/>
      <c r="I14" s="12"/>
      <c r="J14" s="12"/>
      <c r="K14" s="12"/>
      <c r="L14" s="12"/>
      <c r="M14" s="12"/>
      <c r="N14" s="12"/>
      <c r="O14" s="12"/>
      <c r="P14" s="12"/>
      <c r="Q14" s="12"/>
      <c r="R14" s="12"/>
      <c r="S14" s="12"/>
      <c r="T14" s="12"/>
      <c r="U14" s="12"/>
      <c r="V14" s="12"/>
    </row>
    <row r="15" spans="1:22" x14ac:dyDescent="0.35">
      <c r="A15" s="12"/>
      <c r="B15" s="54" t="s">
        <v>221</v>
      </c>
      <c r="C15" s="12"/>
      <c r="D15" s="12"/>
      <c r="E15" s="12"/>
      <c r="F15" s="12"/>
      <c r="G15" s="12"/>
      <c r="H15" s="12"/>
      <c r="I15" s="12"/>
      <c r="J15" s="12"/>
      <c r="K15" s="12"/>
      <c r="L15" s="12"/>
      <c r="M15" s="12"/>
      <c r="N15" s="12"/>
      <c r="O15" s="12"/>
      <c r="P15" s="12"/>
      <c r="Q15" s="12"/>
      <c r="R15" s="12"/>
      <c r="S15" s="12"/>
      <c r="T15" s="12"/>
      <c r="U15" s="12"/>
      <c r="V15" s="12"/>
    </row>
    <row r="16" spans="1:22" x14ac:dyDescent="0.35">
      <c r="A16" s="12"/>
      <c r="B16" s="12"/>
      <c r="C16" s="12"/>
      <c r="D16" s="12"/>
      <c r="E16" s="12"/>
      <c r="F16" s="12"/>
      <c r="G16" s="12"/>
      <c r="H16" s="12"/>
      <c r="I16" s="12"/>
      <c r="J16" s="12"/>
      <c r="K16" s="12"/>
      <c r="L16" s="12"/>
      <c r="M16" s="12"/>
      <c r="N16" s="12"/>
      <c r="O16" s="12"/>
      <c r="P16" s="12"/>
      <c r="Q16" s="12"/>
      <c r="R16" s="12"/>
      <c r="S16" s="12"/>
      <c r="T16" s="12"/>
      <c r="U16" s="12"/>
      <c r="V16" s="12"/>
    </row>
    <row r="17" spans="1:22" x14ac:dyDescent="0.35">
      <c r="A17" s="12"/>
      <c r="B17" s="12"/>
      <c r="C17" s="12"/>
      <c r="D17" s="12"/>
      <c r="E17" s="12"/>
      <c r="F17" s="12"/>
      <c r="G17" s="12"/>
      <c r="H17" s="12"/>
      <c r="I17" s="12"/>
      <c r="J17" s="12"/>
      <c r="K17" s="12"/>
      <c r="L17" s="12"/>
      <c r="M17" s="12"/>
      <c r="N17" s="12"/>
      <c r="O17" s="12"/>
      <c r="P17" s="12"/>
      <c r="Q17" s="12"/>
      <c r="R17" s="12"/>
      <c r="S17" s="12"/>
      <c r="T17" s="12"/>
      <c r="U17" s="12"/>
      <c r="V17" s="12"/>
    </row>
    <row r="18" spans="1:22" x14ac:dyDescent="0.35">
      <c r="A18" s="12"/>
      <c r="B18" s="12"/>
      <c r="C18" s="12"/>
      <c r="D18" s="12"/>
      <c r="E18" s="12"/>
      <c r="F18" s="12"/>
      <c r="G18" s="12"/>
      <c r="H18" s="12"/>
      <c r="I18" s="12"/>
      <c r="J18" s="12"/>
      <c r="K18" s="12"/>
      <c r="L18" s="12"/>
      <c r="M18" s="12"/>
      <c r="N18" s="12"/>
      <c r="O18" s="12"/>
      <c r="P18" s="12"/>
      <c r="Q18" s="12"/>
      <c r="R18" s="12"/>
      <c r="S18" s="12"/>
      <c r="T18" s="12"/>
      <c r="U18" s="12"/>
      <c r="V18" s="12"/>
    </row>
    <row r="19" spans="1:22" x14ac:dyDescent="0.35">
      <c r="A19" s="12"/>
      <c r="B19" s="12"/>
      <c r="C19" s="12"/>
      <c r="D19" s="12"/>
      <c r="E19" s="12"/>
      <c r="F19" s="12"/>
      <c r="G19" s="12"/>
      <c r="H19" s="12"/>
      <c r="I19" s="12"/>
      <c r="J19" s="12"/>
      <c r="K19" s="12"/>
      <c r="L19" s="12"/>
      <c r="M19" s="12"/>
      <c r="N19" s="12"/>
      <c r="O19" s="12"/>
      <c r="P19" s="12"/>
      <c r="Q19" s="12"/>
      <c r="R19" s="12"/>
      <c r="S19" s="12"/>
      <c r="T19" s="12"/>
      <c r="U19" s="12"/>
      <c r="V19" s="12"/>
    </row>
    <row r="20" spans="1:22" x14ac:dyDescent="0.35">
      <c r="A20" s="12"/>
      <c r="B20" s="12"/>
      <c r="C20" s="12"/>
      <c r="D20" s="12"/>
      <c r="E20" s="12"/>
      <c r="F20" s="12"/>
      <c r="G20" s="12"/>
      <c r="H20" s="12"/>
      <c r="I20" s="12"/>
      <c r="J20" s="12"/>
      <c r="K20" s="12"/>
      <c r="L20" s="12"/>
      <c r="M20" s="12"/>
      <c r="N20" s="12"/>
      <c r="O20" s="12"/>
      <c r="P20" s="12"/>
      <c r="Q20" s="12"/>
      <c r="R20" s="12"/>
      <c r="S20" s="12"/>
      <c r="T20" s="12"/>
      <c r="U20" s="12"/>
      <c r="V20" s="12"/>
    </row>
    <row r="21" spans="1:22" x14ac:dyDescent="0.35">
      <c r="A21" s="12"/>
      <c r="B21" s="12"/>
      <c r="C21" s="12"/>
      <c r="D21" s="12"/>
      <c r="E21" s="12"/>
      <c r="F21" s="12"/>
      <c r="G21" s="12"/>
      <c r="H21" s="12"/>
      <c r="I21" s="12"/>
      <c r="J21" s="12"/>
      <c r="K21" s="12"/>
      <c r="L21" s="12"/>
      <c r="M21" s="12"/>
      <c r="N21" s="12"/>
      <c r="O21" s="12"/>
      <c r="P21" s="12"/>
      <c r="Q21" s="12"/>
      <c r="R21" s="12"/>
      <c r="S21" s="12"/>
      <c r="T21" s="12"/>
      <c r="U21" s="12"/>
      <c r="V21" s="12"/>
    </row>
    <row r="22" spans="1:22" x14ac:dyDescent="0.35">
      <c r="A22" s="12"/>
      <c r="B22" s="12"/>
      <c r="C22" s="12"/>
      <c r="D22" s="12"/>
      <c r="E22" s="12"/>
      <c r="F22" s="12"/>
      <c r="G22" s="12"/>
      <c r="H22" s="12"/>
      <c r="I22" s="12"/>
      <c r="J22" s="12"/>
      <c r="K22" s="12"/>
      <c r="L22" s="12"/>
      <c r="M22" s="12"/>
      <c r="N22" s="12"/>
      <c r="O22" s="12"/>
      <c r="P22" s="12"/>
      <c r="Q22" s="12"/>
      <c r="R22" s="12"/>
      <c r="S22" s="12"/>
      <c r="T22" s="12"/>
      <c r="U22" s="12"/>
      <c r="V22" s="12"/>
    </row>
    <row r="23" spans="1:22" x14ac:dyDescent="0.35">
      <c r="A23" s="12"/>
      <c r="B23" s="12"/>
      <c r="C23" s="12"/>
      <c r="D23" s="12"/>
      <c r="E23" s="12"/>
      <c r="F23" s="12"/>
      <c r="G23" s="12"/>
      <c r="H23" s="12"/>
      <c r="I23" s="12"/>
      <c r="J23" s="12"/>
      <c r="K23" s="12"/>
      <c r="L23" s="12"/>
      <c r="M23" s="12"/>
      <c r="N23" s="12"/>
      <c r="O23" s="12"/>
      <c r="P23" s="12"/>
      <c r="Q23" s="12"/>
      <c r="R23" s="12"/>
      <c r="S23" s="12"/>
      <c r="T23" s="12"/>
      <c r="U23" s="12"/>
      <c r="V23" s="12"/>
    </row>
    <row r="24" spans="1:22" x14ac:dyDescent="0.35">
      <c r="A24" s="12"/>
      <c r="B24" s="12"/>
      <c r="C24" s="12"/>
      <c r="D24" s="12"/>
      <c r="E24" s="12"/>
      <c r="F24" s="12"/>
      <c r="G24" s="12"/>
      <c r="H24" s="12"/>
      <c r="I24" s="12"/>
      <c r="J24" s="12"/>
      <c r="K24" s="12"/>
      <c r="L24" s="12"/>
      <c r="M24" s="12"/>
      <c r="N24" s="12"/>
      <c r="O24" s="12"/>
      <c r="P24" s="12"/>
      <c r="Q24" s="12"/>
      <c r="R24" s="12"/>
      <c r="S24" s="12"/>
      <c r="T24" s="12"/>
      <c r="U24" s="12"/>
      <c r="V24" s="12"/>
    </row>
    <row r="25" spans="1:22" x14ac:dyDescent="0.35">
      <c r="A25" s="12"/>
      <c r="B25" s="12"/>
      <c r="C25" s="12"/>
      <c r="D25" s="12"/>
      <c r="E25" s="12"/>
      <c r="F25" s="12"/>
      <c r="G25" s="12"/>
      <c r="H25" s="12"/>
      <c r="I25" s="12"/>
      <c r="J25" s="12"/>
      <c r="K25" s="12"/>
      <c r="L25" s="12"/>
      <c r="M25" s="12"/>
      <c r="N25" s="12"/>
      <c r="O25" s="12"/>
      <c r="P25" s="12"/>
      <c r="Q25" s="12"/>
      <c r="R25" s="12"/>
      <c r="S25" s="12"/>
      <c r="T25" s="12"/>
      <c r="U25" s="12"/>
      <c r="V25" s="12"/>
    </row>
    <row r="26" spans="1:22" x14ac:dyDescent="0.35">
      <c r="A26" s="12"/>
      <c r="B26" s="12"/>
      <c r="C26" s="12"/>
      <c r="D26" s="12"/>
      <c r="E26" s="12"/>
      <c r="F26" s="12"/>
      <c r="G26" s="12"/>
      <c r="H26" s="12"/>
      <c r="I26" s="12"/>
      <c r="J26" s="12"/>
      <c r="K26" s="12"/>
      <c r="L26" s="12"/>
      <c r="M26" s="12"/>
      <c r="N26" s="12"/>
      <c r="O26" s="12"/>
      <c r="P26" s="12"/>
      <c r="Q26" s="12"/>
      <c r="R26" s="12"/>
      <c r="S26" s="12"/>
      <c r="T26" s="12"/>
      <c r="U26" s="12"/>
      <c r="V26" s="12"/>
    </row>
    <row r="27" spans="1:22" x14ac:dyDescent="0.35">
      <c r="A27" s="12"/>
      <c r="B27" s="12"/>
      <c r="C27" s="12"/>
      <c r="D27" s="12"/>
      <c r="E27" s="12"/>
      <c r="F27" s="12"/>
      <c r="G27" s="12"/>
      <c r="H27" s="12"/>
      <c r="I27" s="12"/>
      <c r="J27" s="12"/>
      <c r="K27" s="12"/>
      <c r="L27" s="12"/>
      <c r="M27" s="12"/>
      <c r="N27" s="12"/>
      <c r="O27" s="12"/>
      <c r="P27" s="12"/>
      <c r="Q27" s="12"/>
      <c r="R27" s="12"/>
      <c r="S27" s="12"/>
      <c r="T27" s="12"/>
      <c r="U27" s="12"/>
      <c r="V27" s="12"/>
    </row>
    <row r="28" spans="1:22" x14ac:dyDescent="0.35">
      <c r="A28" s="12"/>
      <c r="B28" s="12"/>
      <c r="C28" s="12"/>
      <c r="D28" s="12"/>
      <c r="E28" s="12"/>
      <c r="F28" s="12"/>
      <c r="G28" s="12"/>
      <c r="H28" s="12"/>
      <c r="I28" s="12"/>
      <c r="J28" s="12"/>
      <c r="K28" s="12"/>
      <c r="L28" s="12"/>
      <c r="M28" s="12"/>
      <c r="N28" s="12"/>
      <c r="O28" s="12"/>
      <c r="P28" s="12"/>
      <c r="Q28" s="12"/>
      <c r="R28" s="12"/>
      <c r="S28" s="12"/>
      <c r="T28" s="12"/>
      <c r="U28" s="12"/>
      <c r="V28" s="12"/>
    </row>
    <row r="29" spans="1:22" x14ac:dyDescent="0.35">
      <c r="A29" s="12"/>
      <c r="B29" s="12"/>
      <c r="C29" s="12"/>
      <c r="D29" s="12"/>
      <c r="E29" s="12"/>
      <c r="F29" s="12"/>
      <c r="G29" s="12"/>
      <c r="H29" s="12"/>
      <c r="I29" s="12"/>
      <c r="J29" s="12"/>
      <c r="K29" s="12"/>
      <c r="L29" s="12"/>
      <c r="M29" s="12"/>
      <c r="N29" s="12"/>
      <c r="O29" s="12"/>
      <c r="P29" s="12"/>
      <c r="Q29" s="12"/>
      <c r="R29" s="12"/>
      <c r="S29" s="12"/>
      <c r="T29" s="12"/>
      <c r="U29" s="12"/>
      <c r="V29" s="12"/>
    </row>
    <row r="30" spans="1:22" x14ac:dyDescent="0.35">
      <c r="A30" s="12"/>
      <c r="B30" s="12"/>
      <c r="C30" s="12"/>
      <c r="D30" s="12"/>
      <c r="E30" s="12"/>
      <c r="F30" s="12"/>
      <c r="G30" s="12"/>
      <c r="H30" s="12"/>
      <c r="I30" s="12"/>
      <c r="J30" s="12"/>
      <c r="K30" s="12"/>
      <c r="L30" s="12"/>
      <c r="M30" s="12"/>
      <c r="N30" s="12"/>
      <c r="O30" s="12"/>
      <c r="P30" s="12"/>
      <c r="Q30" s="12"/>
      <c r="R30" s="12"/>
      <c r="S30" s="12"/>
      <c r="T30" s="12"/>
      <c r="U30" s="12"/>
      <c r="V30" s="12"/>
    </row>
    <row r="31" spans="1:22" x14ac:dyDescent="0.35">
      <c r="A31" s="12"/>
      <c r="B31" s="12"/>
      <c r="C31" s="12"/>
      <c r="D31" s="12"/>
      <c r="E31" s="12"/>
      <c r="F31" s="12"/>
      <c r="G31" s="12"/>
      <c r="H31" s="12"/>
      <c r="I31" s="12"/>
      <c r="J31" s="12"/>
      <c r="K31" s="12"/>
      <c r="L31" s="12"/>
      <c r="M31" s="12"/>
      <c r="N31" s="12"/>
      <c r="O31" s="12"/>
      <c r="P31" s="12"/>
      <c r="Q31" s="12"/>
      <c r="R31" s="12"/>
      <c r="S31" s="12"/>
      <c r="T31" s="12"/>
      <c r="U31" s="12"/>
      <c r="V31" s="12"/>
    </row>
    <row r="32" spans="1:22" x14ac:dyDescent="0.35">
      <c r="A32" s="12"/>
    </row>
  </sheetData>
  <mergeCells count="1">
    <mergeCell ref="B11:D11"/>
  </mergeCells>
  <dataValidations count="1">
    <dataValidation type="list" showInputMessage="1" showErrorMessage="1" sqref="C4" xr:uid="{00000000-0002-0000-0600-000000000000}">
      <formula1>"FY2026,FY2030"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BEF0C861-FF89-43E3-ACF4-62A796CCF0E3}">
          <x14:formula1>
            <xm:f>Scenarios!$A$3:$A$15</xm:f>
          </x14:formula1>
          <xm:sqref>C3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9"/>
  <sheetViews>
    <sheetView zoomScale="80" zoomScaleNormal="80" workbookViewId="0">
      <pane xSplit="2" ySplit="4" topLeftCell="F5" activePane="bottomRight" state="frozen"/>
      <selection pane="topRight"/>
      <selection pane="bottomLeft"/>
      <selection pane="bottomRight" activeCell="H15" sqref="H15"/>
    </sheetView>
  </sheetViews>
  <sheetFormatPr defaultRowHeight="14.5" x14ac:dyDescent="0.35"/>
  <cols>
    <col min="1" max="1" width="4.26953125" customWidth="1"/>
    <col min="2" max="2" width="50.7265625" bestFit="1" customWidth="1"/>
    <col min="3" max="11" width="20.81640625" customWidth="1"/>
    <col min="12" max="12" width="19.81640625" bestFit="1" customWidth="1"/>
    <col min="13" max="13" width="20.6328125" bestFit="1" customWidth="1"/>
  </cols>
  <sheetData>
    <row r="1" spans="1:16" x14ac:dyDescent="0.35">
      <c r="B1" s="65" t="s">
        <v>222</v>
      </c>
      <c r="C1" s="30" t="s">
        <v>182</v>
      </c>
      <c r="P1" s="4" t="s">
        <v>223</v>
      </c>
    </row>
    <row r="2" spans="1:16" x14ac:dyDescent="0.35">
      <c r="A2" t="s">
        <v>224</v>
      </c>
      <c r="P2" s="22" t="str">
        <f>"(Comparison) Change in ops net $ by scenario compared to "&amp;C1&amp;" (Positive = savings)"</f>
        <v>(Comparison) Change in ops net $ by scenario compared to E1_StatusQuo_Decline (Positive = savings)</v>
      </c>
    </row>
    <row r="3" spans="1:16" x14ac:dyDescent="0.35">
      <c r="A3" t="s">
        <v>225</v>
      </c>
      <c r="P3" s="22" t="str">
        <f>"(Nominal) One-time capital (FY26) &amp; Average 5-yr net ops $ by scenario"</f>
        <v>(Nominal) One-time capital (FY26) &amp; Average 5-yr net ops $ by scenario</v>
      </c>
    </row>
    <row r="4" spans="1:16" x14ac:dyDescent="0.35">
      <c r="A4" s="31" t="s">
        <v>226</v>
      </c>
      <c r="B4" s="24" t="s">
        <v>227</v>
      </c>
      <c r="C4" s="28" t="s">
        <v>42</v>
      </c>
      <c r="D4" s="32" t="s">
        <v>228</v>
      </c>
      <c r="E4" s="32" t="s">
        <v>229</v>
      </c>
      <c r="F4" s="32" t="s">
        <v>230</v>
      </c>
      <c r="G4" s="32" t="s">
        <v>231</v>
      </c>
      <c r="H4" s="32" t="s">
        <v>232</v>
      </c>
      <c r="I4" s="32" t="s">
        <v>233</v>
      </c>
      <c r="J4" s="32" t="s">
        <v>234</v>
      </c>
      <c r="K4" s="32" t="s">
        <v>235</v>
      </c>
      <c r="L4" s="24" t="s">
        <v>236</v>
      </c>
      <c r="M4" s="24" t="s">
        <v>237</v>
      </c>
      <c r="N4" s="25"/>
      <c r="O4" s="25"/>
      <c r="P4" s="25"/>
    </row>
    <row r="5" spans="1:16" x14ac:dyDescent="0.35">
      <c r="A5" s="31" t="str">
        <f t="shared" ref="A5:A17" si="0">LEFT(B5, 2)</f>
        <v>F1</v>
      </c>
      <c r="B5" t="str">
        <f>Scenarios!A3</f>
        <v>F1_CUSTOM1</v>
      </c>
      <c r="C5" s="26">
        <f>SUMIFS(Capital_Summary!$H$4:$H$83, Capital_Summary!$A$4:$A$83, B5, Capital_Summary!$B$4:$B$83, "FY2026")*-1</f>
        <v>0</v>
      </c>
      <c r="D5" s="26">
        <f>SUMIFS(MultiYear_ProForma!$AF$2:$AF$66, MultiYear_ProForma!$B$2:$B$66, B5, MultiYear_ProForma!$C$2:$C$66, "FY2026")</f>
        <v>-459335.03052499983</v>
      </c>
      <c r="E5" s="26">
        <f>SUMIFS(MultiYear_ProForma!$AF$2:$AF$66, MultiYear_ProForma!$B$2:$B$66, B5, MultiYear_ProForma!$C$2:$C$66, "FY2028")</f>
        <v>-482588.86644532718</v>
      </c>
      <c r="F5" s="26">
        <f>SUMIFS(MultiYear_ProForma!$AF$2:$AF$66, MultiYear_ProForma!$B$2:$B$66, B5, MultiYear_ProForma!$C$2:$C$66, "FY2030")</f>
        <v>-507019.92780912202</v>
      </c>
      <c r="G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-482883.16383480671</v>
      </c>
      <c r="H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f>
        <v>-2414415.8191740336</v>
      </c>
      <c r="I5" s="11">
        <f>SUMIFS(MultiYear_ProForma!$N$2:$N$66, MultiYear_ProForma!$B$2:$B$66, B5, MultiYear_ProForma!$C$2:$C$66, "FY2026")</f>
        <v>0</v>
      </c>
      <c r="J5" s="11">
        <f>SUMIFS(MultiYear_ProForma!$AC$2:$AC$66, MultiYear_ProForma!$B$2:$B$66, B5, MultiYear_ProForma!$C$2:$C$66, "FY2030")</f>
        <v>553</v>
      </c>
      <c r="K5" s="26">
        <f t="shared" ref="K5:K17" si="1">F5/J5</f>
        <v>-916.8533956765317</v>
      </c>
      <c r="L5" s="26" t="e">
        <f t="shared" ref="L5:L17" si="2">F5-(VLOOKUP($C$1,$B$5:$G$17,5, 0))</f>
        <v>#N/A</v>
      </c>
      <c r="M5" s="26" t="e">
        <f t="shared" ref="M5:M17" si="3">G5-(VLOOKUP($C$1,$B$5:$J$17,6, 0))</f>
        <v>#N/A</v>
      </c>
    </row>
    <row r="6" spans="1:16" x14ac:dyDescent="0.35">
      <c r="A6" s="31" t="str">
        <f t="shared" si="0"/>
        <v>B3</v>
      </c>
      <c r="B6" t="str">
        <f>Scenarios!A4</f>
        <v>B3_StatusQuo_Targets</v>
      </c>
      <c r="C6" s="26">
        <f>SUMIFS(Capital_Summary!$H$4:$H$83, Capital_Summary!$A$4:$A$83, B6, Capital_Summary!$B$4:$B$83, "FY2026")*-1</f>
        <v>0</v>
      </c>
      <c r="D6" s="26">
        <f>SUMIFS(MultiYear_ProForma!$AF$2:$AF$66, MultiYear_ProForma!$B$2:$B$66, B6, MultiYear_ProForma!$C$2:$C$66, "FY2026")</f>
        <v>-334879.37741989177</v>
      </c>
      <c r="E6" s="26">
        <f>SUMIFS(MultiYear_ProForma!$AF$2:$AF$66, MultiYear_ProForma!$B$2:$B$66, B6, MultiYear_ProForma!$C$2:$C$66, "FY2028")</f>
        <v>-83560.829814663157</v>
      </c>
      <c r="F6" s="26">
        <f>SUMIFS(MultiYear_ProForma!$AF$2:$AF$66, MultiYear_ProForma!$B$2:$B$66, B6, MultiYear_ProForma!$C$2:$C$66, "FY2030")</f>
        <v>-82835.471824029461</v>
      </c>
      <c r="G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-159726.96940825321</v>
      </c>
      <c r="H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f>
        <v>-798634.84704126604</v>
      </c>
      <c r="I6" s="11">
        <f>SUMIFS(MultiYear_ProForma!$N$2:$N$66, MultiYear_ProForma!$B$2:$B$66, B6, MultiYear_ProForma!$C$2:$C$66, "FY2026")</f>
        <v>0</v>
      </c>
      <c r="J6" s="11">
        <f>SUMIFS(MultiYear_ProForma!$AC$2:$AC$66, MultiYear_ProForma!$B$2:$B$66, B6, MultiYear_ProForma!$C$2:$C$66, "FY2030")</f>
        <v>628</v>
      </c>
      <c r="K6" s="26">
        <f t="shared" si="1"/>
        <v>-131.90361755418704</v>
      </c>
      <c r="L6" s="26" t="e">
        <f t="shared" si="2"/>
        <v>#N/A</v>
      </c>
      <c r="M6" s="26" t="e">
        <f t="shared" si="3"/>
        <v>#N/A</v>
      </c>
    </row>
    <row r="7" spans="1:16" x14ac:dyDescent="0.35">
      <c r="A7" s="31" t="str">
        <f t="shared" si="0"/>
        <v>C2</v>
      </c>
      <c r="B7" t="str">
        <f>Scenarios!A5</f>
        <v>C2_CoLocation_Echo_Targets</v>
      </c>
      <c r="C7" s="26">
        <f>SUMIFS(Capital_Summary!$H$4:$H$83, Capital_Summary!$A$4:$A$83, B7, Capital_Summary!$B$4:$B$83, "FY2026")*-1</f>
        <v>0</v>
      </c>
      <c r="D7" s="26">
        <f>SUMIFS(MultiYear_ProForma!$AF$2:$AF$66, MultiYear_ProForma!$B$2:$B$66, B7, MultiYear_ProForma!$C$2:$C$66, "FY2026")</f>
        <v>-46044.706198846921</v>
      </c>
      <c r="E7" s="26">
        <f>SUMIFS(MultiYear_ProForma!$AF$2:$AF$66, MultiYear_ProForma!$B$2:$B$66, B7, MultiYear_ProForma!$C$2:$C$66, "FY2028")</f>
        <v>139239.14006125554</v>
      </c>
      <c r="F7" s="26">
        <f>SUMIFS(MultiYear_ProForma!$AF$2:$AF$66, MultiYear_ProForma!$B$2:$B$66, B7, MultiYear_ProForma!$C$2:$C$66, "FY2030")</f>
        <v>149591.87152685784</v>
      </c>
      <c r="G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86056.374606127109</v>
      </c>
      <c r="H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f>
        <v>430281.87303063553</v>
      </c>
      <c r="I7" s="11">
        <f>SUMIFS(MultiYear_ProForma!$N$2:$N$66, MultiYear_ProForma!$B$2:$B$66, B7, MultiYear_ProForma!$C$2:$C$66, "FY2026")</f>
        <v>0</v>
      </c>
      <c r="J7" s="11">
        <f>SUMIFS(MultiYear_ProForma!$AC$2:$AC$66, MultiYear_ProForma!$B$2:$B$66, B7, MultiYear_ProForma!$C$2:$C$66, "FY2030")</f>
        <v>603</v>
      </c>
      <c r="K7" s="26">
        <f t="shared" si="1"/>
        <v>248.07938893342924</v>
      </c>
      <c r="L7" s="26" t="e">
        <f t="shared" si="2"/>
        <v>#N/A</v>
      </c>
      <c r="M7" s="26" t="e">
        <f t="shared" si="3"/>
        <v>#N/A</v>
      </c>
    </row>
    <row r="8" spans="1:16" x14ac:dyDescent="0.35">
      <c r="A8" s="31" t="str">
        <f t="shared" si="0"/>
        <v>C1</v>
      </c>
      <c r="B8" t="str">
        <f>Scenarios!A6</f>
        <v>C1_Grow_Both_Targets</v>
      </c>
      <c r="C8" s="26">
        <f>SUMIFS(Capital_Summary!$H$4:$H$83, Capital_Summary!$A$4:$A$83, B8, Capital_Summary!$B$4:$B$83, "FY2026")*-1</f>
        <v>-1800000</v>
      </c>
      <c r="D8" s="26">
        <f>SUMIFS(MultiYear_ProForma!$AF$2:$AF$66, MultiYear_ProForma!$B$2:$B$66, B8, MultiYear_ProForma!$C$2:$C$66, "FY2026")</f>
        <v>-210423.72431478277</v>
      </c>
      <c r="E8" s="26">
        <f>SUMIFS(MultiYear_ProForma!$AF$2:$AF$66, MultiYear_ProForma!$B$2:$B$66, B8, MultiYear_ProForma!$C$2:$C$66, "FY2028")</f>
        <v>315467.2068160018</v>
      </c>
      <c r="F8" s="26">
        <f>SUMIFS(MultiYear_ProForma!$AF$2:$AF$66, MultiYear_ProForma!$B$2:$B$66, B8, MultiYear_ProForma!$C$2:$C$66, "FY2030")</f>
        <v>341348.98416106123</v>
      </c>
      <c r="G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163429.22501830029</v>
      </c>
      <c r="H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f>
        <v>817146.12509150151</v>
      </c>
      <c r="I8" s="11">
        <f>SUMIFS(MultiYear_ProForma!$N$2:$N$66, MultiYear_ProForma!$B$2:$B$66, B8, MultiYear_ProForma!$C$2:$C$66, "FY2026")</f>
        <v>0</v>
      </c>
      <c r="J8" s="11">
        <f>SUMIFS(MultiYear_ProForma!$AC$2:$AC$66, MultiYear_ProForma!$B$2:$B$66, B8, MultiYear_ProForma!$C$2:$C$66, "FY2030")</f>
        <v>703</v>
      </c>
      <c r="K8" s="26">
        <f t="shared" si="1"/>
        <v>485.56043266153802</v>
      </c>
      <c r="L8" s="26" t="e">
        <f t="shared" si="2"/>
        <v>#N/A</v>
      </c>
      <c r="M8" s="26" t="e">
        <f t="shared" si="3"/>
        <v>#N/A</v>
      </c>
    </row>
    <row r="9" spans="1:16" x14ac:dyDescent="0.35">
      <c r="A9" s="31" t="str">
        <f t="shared" si="0"/>
        <v>B2</v>
      </c>
      <c r="B9" t="str">
        <f>Scenarios!A7</f>
        <v>B2_StatusQuo_Steady</v>
      </c>
      <c r="C9" s="26">
        <f>SUMIFS(Capital_Summary!$H$4:$H$83, Capital_Summary!$A$4:$A$83, B9, Capital_Summary!$B$4:$B$83, "FY2026")*-1</f>
        <v>0</v>
      </c>
      <c r="D9" s="26">
        <f>SUMIFS(MultiYear_ProForma!$AF$2:$AF$66, MultiYear_ProForma!$B$2:$B$66, B9, MultiYear_ProForma!$C$2:$C$66, "FY2026")</f>
        <v>-459335.03052499983</v>
      </c>
      <c r="E9" s="26">
        <f>SUMIFS(MultiYear_ProForma!$AF$2:$AF$66, MultiYear_ProForma!$B$2:$B$66, B9, MultiYear_ProForma!$C$2:$C$66, "FY2028")</f>
        <v>-482588.86644532718</v>
      </c>
      <c r="F9" s="26">
        <f>SUMIFS(MultiYear_ProForma!$AF$2:$AF$66, MultiYear_ProForma!$B$2:$B$66, B9, MultiYear_ProForma!$C$2:$C$66, "FY2030")</f>
        <v>-507019.92780912202</v>
      </c>
      <c r="G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-482883.16383480671</v>
      </c>
      <c r="H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f>
        <v>-2414415.8191740336</v>
      </c>
      <c r="I9" s="11">
        <f>SUMIFS(MultiYear_ProForma!$N$2:$N$66, MultiYear_ProForma!$B$2:$B$66, B9, MultiYear_ProForma!$C$2:$C$66, "FY2026")</f>
        <v>0</v>
      </c>
      <c r="J9" s="11">
        <f>SUMIFS(MultiYear_ProForma!$AC$2:$AC$66, MultiYear_ProForma!$B$2:$B$66, B9, MultiYear_ProForma!$C$2:$C$66, "FY2030")</f>
        <v>553</v>
      </c>
      <c r="K9" s="26">
        <f t="shared" si="1"/>
        <v>-916.8533956765317</v>
      </c>
      <c r="L9" s="26" t="e">
        <f t="shared" si="2"/>
        <v>#N/A</v>
      </c>
      <c r="M9" s="26" t="e">
        <f t="shared" si="3"/>
        <v>#N/A</v>
      </c>
    </row>
    <row r="10" spans="1:16" x14ac:dyDescent="0.35">
      <c r="A10" s="31" t="str">
        <f t="shared" si="0"/>
        <v>D2</v>
      </c>
      <c r="B10" t="str">
        <f>Scenarios!A8</f>
        <v>D2_EchoGHubRamp_PimaTargets</v>
      </c>
      <c r="C10" s="26">
        <f>SUMIFS(Capital_Summary!$H$4:$H$83, Capital_Summary!$A$4:$A$83, B10, Capital_Summary!$B$4:$B$83, "FY2026")*-1</f>
        <v>-800000</v>
      </c>
      <c r="D10" s="26">
        <f>SUMIFS(MultiYear_ProForma!$AF$2:$AF$66, MultiYear_ProForma!$B$2:$B$66, B10, MultiYear_ProForma!$C$2:$C$66, "FY2026")</f>
        <v>-251908.94201648422</v>
      </c>
      <c r="E10" s="26">
        <f>SUMIFS(MultiYear_ProForma!$AF$2:$AF$66, MultiYear_ProForma!$B$2:$B$66, B10, MultiYear_ProForma!$C$2:$C$66, "FY2028")</f>
        <v>182457.86127244681</v>
      </c>
      <c r="F10" s="26">
        <f>SUMIFS(MultiYear_ProForma!$AF$2:$AF$66, MultiYear_ProForma!$B$2:$B$66, B10, MultiYear_ProForma!$C$2:$C$66, "FY2030")</f>
        <v>199954.16549936403</v>
      </c>
      <c r="G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55710.493542782591</v>
      </c>
      <c r="H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f>
        <v>278552.46771391295</v>
      </c>
      <c r="I10" s="11">
        <f>SUMIFS(MultiYear_ProForma!$N$2:$N$66, MultiYear_ProForma!$B$2:$B$66, B10, MultiYear_ProForma!$C$2:$C$66, "FY2026")</f>
        <v>0</v>
      </c>
      <c r="J10" s="11">
        <f>SUMIFS(MultiYear_ProForma!$AC$2:$AC$66, MultiYear_ProForma!$B$2:$B$66, B10, MultiYear_ProForma!$C$2:$C$66, "FY2030")</f>
        <v>678</v>
      </c>
      <c r="K10" s="26">
        <f t="shared" si="1"/>
        <v>294.91764822915047</v>
      </c>
      <c r="L10" s="26" t="e">
        <f t="shared" si="2"/>
        <v>#N/A</v>
      </c>
      <c r="M10" s="26" t="e">
        <f t="shared" si="3"/>
        <v>#N/A</v>
      </c>
    </row>
    <row r="11" spans="1:16" x14ac:dyDescent="0.35">
      <c r="A11" s="31" t="str">
        <f t="shared" si="0"/>
        <v>A1</v>
      </c>
      <c r="B11" t="str">
        <f>Scenarios!A9</f>
        <v>A1_Repurpose_Both_ops</v>
      </c>
      <c r="C11" s="26">
        <f>SUMIFS(Capital_Summary!$H$4:$H$83, Capital_Summary!$A$4:$A$83, B11, Capital_Summary!$B$4:$B$83, "FY2026")*-1</f>
        <v>-2714479.9999999995</v>
      </c>
      <c r="D11" s="26">
        <f>SUMIFS(MultiYear_ProForma!$AF$2:$AF$66, MultiYear_ProForma!$B$2:$B$66, B11, MultiYear_ProForma!$C$2:$C$66, "FY2026")</f>
        <v>-797624.53813969251</v>
      </c>
      <c r="E11" s="26">
        <f>SUMIFS(MultiYear_ProForma!$AF$2:$AF$66, MultiYear_ProForma!$B$2:$B$66, B11, MultiYear_ProForma!$C$2:$C$66, "FY2028")</f>
        <v>-454637.08214082569</v>
      </c>
      <c r="F11" s="26">
        <f>SUMIFS(MultiYear_ProForma!$AF$2:$AF$66, MultiYear_ProForma!$B$2:$B$66, B11, MultiYear_ProForma!$C$2:$C$66, "FY2030")</f>
        <v>-238259.87610541843</v>
      </c>
      <c r="G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-487110.59095861949</v>
      </c>
      <c r="H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f>
        <v>-2435552.9547930975</v>
      </c>
      <c r="I11" s="11">
        <f>SUMIFS(MultiYear_ProForma!$N$2:$N$66, MultiYear_ProForma!$B$2:$B$66, B11, MultiYear_ProForma!$C$2:$C$66, "FY2026")</f>
        <v>553</v>
      </c>
      <c r="J11" s="11">
        <f>SUMIFS(MultiYear_ProForma!$AC$2:$AC$66, MultiYear_ProForma!$B$2:$B$66, B11, MultiYear_ProForma!$C$2:$C$66, "FY2030")</f>
        <v>405.79999999999995</v>
      </c>
      <c r="K11" s="26">
        <f t="shared" si="1"/>
        <v>-587.13621514395879</v>
      </c>
      <c r="L11" s="26" t="e">
        <f t="shared" si="2"/>
        <v>#N/A</v>
      </c>
      <c r="M11" s="26" t="e">
        <f t="shared" si="3"/>
        <v>#N/A</v>
      </c>
    </row>
    <row r="12" spans="1:16" x14ac:dyDescent="0.35">
      <c r="A12" s="31" t="str">
        <f t="shared" si="0"/>
        <v>A2</v>
      </c>
      <c r="B12" t="str">
        <f>Scenarios!A10</f>
        <v>A2_Repurpose_Both_lease</v>
      </c>
      <c r="C12" s="26">
        <f>SUMIFS(Capital_Summary!$H$4:$H$83, Capital_Summary!$A$4:$A$83, B12, Capital_Summary!$B$4:$B$83, "FY2026")*-1</f>
        <v>-2314479.9999999995</v>
      </c>
      <c r="D12" s="26">
        <f>SUMIFS(MultiYear_ProForma!$AF$2:$AF$66, MultiYear_ProForma!$B$2:$B$66, B12, MultiYear_ProForma!$C$2:$C$66, "FY2026")</f>
        <v>252007.49311030656</v>
      </c>
      <c r="E12" s="26">
        <f>SUMIFS(MultiYear_ProForma!$AF$2:$AF$66, MultiYear_ProForma!$B$2:$B$66, B12, MultiYear_ProForma!$C$2:$C$66, "FY2028")</f>
        <v>547880.78407011135</v>
      </c>
      <c r="F12" s="26">
        <f>SUMIFS(MultiYear_ProForma!$AF$2:$AF$66, MultiYear_ProForma!$B$2:$B$66, B12, MultiYear_ProForma!$C$2:$C$66, "FY2030")</f>
        <v>815010.4570824476</v>
      </c>
      <c r="G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535102.85993188317</v>
      </c>
      <c r="H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f>
        <v>2675514.2996594156</v>
      </c>
      <c r="I12" s="11">
        <f>SUMIFS(MultiYear_ProForma!$N$2:$N$66, MultiYear_ProForma!$B$2:$B$66, B12, MultiYear_ProForma!$C$2:$C$66, "FY2026")</f>
        <v>553</v>
      </c>
      <c r="J12" s="11">
        <f>SUMIFS(MultiYear_ProForma!$AC$2:$AC$66, MultiYear_ProForma!$B$2:$B$66, B12, MultiYear_ProForma!$C$2:$C$66, "FY2030")</f>
        <v>405.79999999999995</v>
      </c>
      <c r="K12" s="26">
        <f t="shared" si="1"/>
        <v>2008.4042806368843</v>
      </c>
      <c r="L12" s="26" t="e">
        <f t="shared" si="2"/>
        <v>#N/A</v>
      </c>
      <c r="M12" s="26" t="e">
        <f t="shared" si="3"/>
        <v>#N/A</v>
      </c>
    </row>
    <row r="13" spans="1:16" x14ac:dyDescent="0.35">
      <c r="A13" s="31" t="str">
        <f t="shared" si="0"/>
        <v>D2</v>
      </c>
      <c r="B13" t="str">
        <f>Scenarios!A11</f>
        <v>D2_Repurpose_Echo_lease_PimaTargets</v>
      </c>
      <c r="C13" s="26">
        <f>SUMIFS(Capital_Summary!$H$4:$H$83, Capital_Summary!$A$4:$A$83, B13, Capital_Summary!$B$4:$B$83, "FY2026")*-1</f>
        <v>-1600000</v>
      </c>
      <c r="D13" s="26">
        <f>SUMIFS(MultiYear_ProForma!$AF$2:$AF$66, MultiYear_ProForma!$B$2:$B$66, B13, MultiYear_ProForma!$C$2:$C$66, "FY2026")</f>
        <v>-76179.354787189513</v>
      </c>
      <c r="E13" s="26">
        <f>SUMIFS(MultiYear_ProForma!$AF$2:$AF$66, MultiYear_ProForma!$B$2:$B$66, B13, MultiYear_ProForma!$C$2:$C$66, "FY2028")</f>
        <v>190408.09696577955</v>
      </c>
      <c r="F13" s="26">
        <f>SUMIFS(MultiYear_ProForma!$AF$2:$AF$66, MultiYear_ProForma!$B$2:$B$66, B13, MultiYear_ProForma!$C$2:$C$66, "FY2030")</f>
        <v>303244.53497219086</v>
      </c>
      <c r="G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139710.41622982174</v>
      </c>
      <c r="H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f>
        <v>698552.08114910871</v>
      </c>
      <c r="I13" s="11">
        <f>SUMIFS(MultiYear_ProForma!$N$2:$N$66, MultiYear_ProForma!$B$2:$B$66, B13, MultiYear_ProForma!$C$2:$C$66, "FY2026")</f>
        <v>257</v>
      </c>
      <c r="J13" s="11">
        <f>SUMIFS(MultiYear_ProForma!$AC$2:$AC$66, MultiYear_ProForma!$B$2:$B$66, B13, MultiYear_ProForma!$C$2:$C$66, "FY2030")</f>
        <v>500.2</v>
      </c>
      <c r="K13" s="26">
        <f t="shared" si="1"/>
        <v>606.24657131585536</v>
      </c>
      <c r="L13" s="26" t="e">
        <f t="shared" si="2"/>
        <v>#N/A</v>
      </c>
      <c r="M13" s="26" t="e">
        <f t="shared" si="3"/>
        <v>#N/A</v>
      </c>
    </row>
    <row r="14" spans="1:16" x14ac:dyDescent="0.35">
      <c r="A14" s="31" t="str">
        <f t="shared" si="0"/>
        <v>D1</v>
      </c>
      <c r="B14" t="str">
        <f>Scenarios!A12</f>
        <v>D1_Repurpose_Echo_ops_PimaTargets</v>
      </c>
      <c r="C14" s="26">
        <f>SUMIFS(Capital_Summary!$H$4:$H$83, Capital_Summary!$A$4:$A$83, B14, Capital_Summary!$B$4:$B$83, "FY2026")*-1</f>
        <v>-1800000</v>
      </c>
      <c r="D14" s="26">
        <f>SUMIFS(MultiYear_ProForma!$AF$2:$AF$66, MultiYear_ProForma!$B$2:$B$66, B14, MultiYear_ProForma!$C$2:$C$66, "FY2026")</f>
        <v>-580002.72978718951</v>
      </c>
      <c r="E14" s="26">
        <f>SUMIFS(MultiYear_ProForma!$AF$2:$AF$66, MultiYear_ProForma!$B$2:$B$66, B14, MultiYear_ProForma!$C$2:$C$66, "FY2028")</f>
        <v>-275499.84447402321</v>
      </c>
      <c r="F14" s="26">
        <f>SUMIFS(MultiYear_ProForma!$AF$2:$AF$66, MultiYear_ProForma!$B$2:$B$66, B14, MultiYear_ProForma!$C$2:$C$66, "FY2030")</f>
        <v>-186249.99600300193</v>
      </c>
      <c r="G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-338554.74787073734</v>
      </c>
      <c r="H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f>
        <v>-1692773.7393536866</v>
      </c>
      <c r="I14" s="11">
        <f>SUMIFS(MultiYear_ProForma!$N$2:$N$66, MultiYear_ProForma!$B$2:$B$66, B14, MultiYear_ProForma!$C$2:$C$66, "FY2026")</f>
        <v>257</v>
      </c>
      <c r="J14" s="11">
        <f>SUMIFS(MultiYear_ProForma!$AC$2:$AC$66, MultiYear_ProForma!$B$2:$B$66, B14, MultiYear_ProForma!$C$2:$C$66, "FY2030")</f>
        <v>500.2</v>
      </c>
      <c r="K14" s="26">
        <f t="shared" si="1"/>
        <v>-372.3510515853697</v>
      </c>
      <c r="L14" s="26" t="e">
        <f t="shared" si="2"/>
        <v>#N/A</v>
      </c>
      <c r="M14" s="26" t="e">
        <f t="shared" si="3"/>
        <v>#N/A</v>
      </c>
    </row>
    <row r="15" spans="1:16" x14ac:dyDescent="0.35">
      <c r="A15" s="31" t="str">
        <f t="shared" si="0"/>
        <v>D2</v>
      </c>
      <c r="B15" t="str">
        <f>Scenarios!A13</f>
        <v>D2_Repurpose_Pima_lease_EchoGHub_EchoTargets</v>
      </c>
      <c r="C15" s="26">
        <f>SUMIFS(Capital_Summary!$H$4:$H$83, Capital_Summary!$A$4:$A$83, B15, Capital_Summary!$B$4:$B$83, "FY2026")*-1</f>
        <v>-1600000</v>
      </c>
      <c r="D15" s="26">
        <f>SUMIFS(MultiYear_ProForma!$AF$2:$AF$66, MultiYear_ProForma!$B$2:$B$66, B15, MultiYear_ProForma!$C$2:$C$66, "FY2026")</f>
        <v>36009.647332676686</v>
      </c>
      <c r="E15" s="26">
        <f>SUMIFS(MultiYear_ProForma!$AF$2:$AF$66, MultiYear_ProForma!$B$2:$B$66, B15, MultiYear_ProForma!$C$2:$C$66, "FY2028")</f>
        <v>406921.20283322502</v>
      </c>
      <c r="F15" s="26">
        <f>SUMIFS(MultiYear_ProForma!$AF$2:$AF$66, MultiYear_ProForma!$B$2:$B$66, B15, MultiYear_ProForma!$C$2:$C$66, "FY2030")</f>
        <v>570325.26894792262</v>
      </c>
      <c r="G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343387.8709735591</v>
      </c>
      <c r="H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f>
        <v>1716939.3548677955</v>
      </c>
      <c r="I15" s="11">
        <f>SUMIFS(MultiYear_ProForma!$N$2:$N$66, MultiYear_ProForma!$B$2:$B$66, B15, MultiYear_ProForma!$C$2:$C$66, "FY2026")</f>
        <v>295.66666666666669</v>
      </c>
      <c r="J15" s="11">
        <f>SUMIFS(MultiYear_ProForma!$AC$2:$AC$66, MultiYear_ProForma!$B$2:$B$66, B15, MultiYear_ProForma!$C$2:$C$66, "FY2030")</f>
        <v>558.6</v>
      </c>
      <c r="K15" s="26">
        <f t="shared" si="1"/>
        <v>1020.9904564051604</v>
      </c>
      <c r="L15" s="26" t="e">
        <f t="shared" si="2"/>
        <v>#N/A</v>
      </c>
      <c r="M15" s="26" t="e">
        <f t="shared" si="3"/>
        <v>#N/A</v>
      </c>
    </row>
    <row r="16" spans="1:16" x14ac:dyDescent="0.35">
      <c r="A16" s="31" t="str">
        <f t="shared" si="0"/>
        <v>D1</v>
      </c>
      <c r="B16" t="str">
        <f>Scenarios!A14</f>
        <v>D1_Repurpose_Pima_ops_EchoGHub_EchoTargets</v>
      </c>
      <c r="C16" s="26">
        <f>SUMIFS(Capital_Summary!$H$4:$H$83, Capital_Summary!$A$4:$A$83, B16, Capital_Summary!$B$4:$B$83, "FY2026")*-1</f>
        <v>-1800000</v>
      </c>
      <c r="D16" s="26">
        <f>SUMIFS(MultiYear_ProForma!$AF$2:$AF$66, MultiYear_ProForma!$B$2:$B$66, B16, MultiYear_ProForma!$C$2:$C$66, "FY2026")</f>
        <v>-509799.00891732331</v>
      </c>
      <c r="E16" s="26">
        <f>SUMIFS(MultiYear_ProForma!$AF$2:$AF$66, MultiYear_ProForma!$B$2:$B$66, B16, MultiYear_ProForma!$C$2:$C$66, "FY2028")</f>
        <v>-129688.72193791065</v>
      </c>
      <c r="F16" s="26">
        <f>SUMIFS(MultiYear_ProForma!$AF$2:$AF$66, MultiYear_ProForma!$B$2:$B$66, B16, MultiYear_ProForma!$C$2:$C$66, "FY2030")</f>
        <v>6549.4667352503166</v>
      </c>
      <c r="G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-200560.41581638419</v>
      </c>
      <c r="H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f>
        <v>-1002802.0790819209</v>
      </c>
      <c r="I16" s="11">
        <f>SUMIFS(MultiYear_ProForma!$N$2:$N$66, MultiYear_ProForma!$B$2:$B$66, B16, MultiYear_ProForma!$C$2:$C$66, "FY2026")</f>
        <v>295.66666666666669</v>
      </c>
      <c r="J16" s="11">
        <f>SUMIFS(MultiYear_ProForma!$AC$2:$AC$66, MultiYear_ProForma!$B$2:$B$66, B16, MultiYear_ProForma!$C$2:$C$66, "FY2030")</f>
        <v>558.6</v>
      </c>
      <c r="K16" s="26">
        <f t="shared" si="1"/>
        <v>11.724788283656133</v>
      </c>
      <c r="L16" s="26" t="e">
        <f t="shared" si="2"/>
        <v>#N/A</v>
      </c>
      <c r="M16" s="26" t="e">
        <f t="shared" si="3"/>
        <v>#N/A</v>
      </c>
    </row>
    <row r="17" spans="1:13" x14ac:dyDescent="0.35">
      <c r="A17" s="31" t="str">
        <f t="shared" si="0"/>
        <v>B1</v>
      </c>
      <c r="B17" t="str">
        <f>Scenarios!A15</f>
        <v>B1_StatusQuo_Decline</v>
      </c>
      <c r="C17" s="26">
        <f>SUMIFS(Capital_Summary!$H$4:$H$83, Capital_Summary!$A$4:$A$83, B17, Capital_Summary!$B$4:$B$83, "FY2026")*-1</f>
        <v>0</v>
      </c>
      <c r="D17" s="26">
        <f>SUMIFS(MultiYear_ProForma!$AF$2:$AF$66, MultiYear_ProForma!$B$2:$B$66, B17, MultiYear_ProForma!$C$2:$C$66, "FY2026")</f>
        <v>-459335.03052499983</v>
      </c>
      <c r="E17" s="26">
        <f>SUMIFS(MultiYear_ProForma!$AF$2:$AF$66, MultiYear_ProForma!$B$2:$B$66, B17, MultiYear_ProForma!$C$2:$C$66, "FY2028")</f>
        <v>-542877.76233799849</v>
      </c>
      <c r="F17" s="26">
        <f>SUMIFS(MultiYear_ProForma!$AF$2:$AF$66, MultiYear_ProForma!$B$2:$B$66, B17, MultiYear_ProForma!$C$2:$C$66, "FY2030")</f>
        <v>-631193.6658622073</v>
      </c>
      <c r="G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-544071.01802164747</v>
      </c>
      <c r="H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f>
        <v>-2720355.0901082372</v>
      </c>
      <c r="I17" s="11">
        <f>SUMIFS(MultiYear_ProForma!$N$2:$N$66, MultiYear_ProForma!$B$2:$B$66, B17, MultiYear_ProForma!$C$2:$C$66, "FY2026")</f>
        <v>0</v>
      </c>
      <c r="J17" s="11">
        <f>SUMIFS(MultiYear_ProForma!$AC$2:$AC$66, MultiYear_ProForma!$B$2:$B$66, B17, MultiYear_ProForma!$C$2:$C$66, "FY2030")</f>
        <v>510.06959247999993</v>
      </c>
      <c r="K17" s="26">
        <f t="shared" si="1"/>
        <v>-1237.4657795092082</v>
      </c>
      <c r="L17" s="26" t="e">
        <f t="shared" si="2"/>
        <v>#N/A</v>
      </c>
      <c r="M17" s="26" t="e">
        <f t="shared" si="3"/>
        <v>#N/A</v>
      </c>
    </row>
    <row r="19" spans="1:13" x14ac:dyDescent="0.35">
      <c r="B19" s="4" t="s">
        <v>238</v>
      </c>
    </row>
  </sheetData>
  <conditionalFormatting sqref="L5:L17">
    <cfRule type="colorScale" priority="2">
      <colorScale>
        <cfvo type="min"/>
        <cfvo type="percentile" val="50"/>
        <cfvo type="max"/>
        <color rgb="FFF8696B"/>
        <color rgb="FFFFEB84"/>
        <color rgb="FF63BE7B"/>
      </colorScale>
    </cfRule>
  </conditionalFormatting>
  <conditionalFormatting sqref="M5:M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65"/>
  <sheetViews>
    <sheetView zoomScale="80" zoomScaleNormal="80" workbookViewId="0">
      <selection activeCell="B2" sqref="B2"/>
    </sheetView>
  </sheetViews>
  <sheetFormatPr defaultRowHeight="14.5" x14ac:dyDescent="0.35"/>
  <sheetData>
    <row r="1" spans="1:34"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23.5" customHeight="1" x14ac:dyDescent="0.35">
      <c r="A2" s="12"/>
      <c r="B2" s="77"/>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x14ac:dyDescent="0.35">
      <c r="A4" s="12"/>
      <c r="B4" s="33"/>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35">
      <c r="A9" s="12"/>
      <c r="B9" s="75"/>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x14ac:dyDescent="0.35">
      <c r="A10" s="12"/>
      <c r="B10" s="76"/>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x14ac:dyDescent="0.35">
      <c r="A11" s="12"/>
      <c r="B11" s="7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35">
      <c r="A12" s="12"/>
      <c r="B12" s="76"/>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x14ac:dyDescent="0.35">
      <c r="A13" s="12"/>
      <c r="B13" s="75"/>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x14ac:dyDescent="0.35">
      <c r="A14" s="12"/>
      <c r="B14" s="76"/>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x14ac:dyDescent="0.35">
      <c r="A16" s="12"/>
      <c r="B16" s="33"/>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x14ac:dyDescent="0.35">
      <c r="A17" s="12"/>
      <c r="B17" s="75"/>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x14ac:dyDescent="0.35">
      <c r="A18" s="12"/>
      <c r="B18" s="75"/>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x14ac:dyDescent="0.35">
      <c r="A19" s="12"/>
      <c r="B19" s="75"/>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x14ac:dyDescent="0.35">
      <c r="A20" s="12"/>
      <c r="B20" s="75"/>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x14ac:dyDescent="0.35">
      <c r="A22" s="12"/>
      <c r="B22" s="33"/>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x14ac:dyDescent="0.35">
      <c r="A23" s="12"/>
      <c r="B23" s="75"/>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x14ac:dyDescent="0.35">
      <c r="A24" s="12"/>
      <c r="B24" s="76"/>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x14ac:dyDescent="0.35">
      <c r="A25" s="12"/>
      <c r="B25" s="75"/>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x14ac:dyDescent="0.35">
      <c r="A26" s="12"/>
      <c r="B26" s="76"/>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x14ac:dyDescent="0.35">
      <c r="A27" s="12"/>
      <c r="B27" s="75"/>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x14ac:dyDescent="0.35">
      <c r="A28" s="12"/>
      <c r="B28" s="75"/>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x14ac:dyDescent="0.35">
      <c r="A29" s="12"/>
      <c r="B29" s="75"/>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x14ac:dyDescent="0.35">
      <c r="A30" s="12"/>
      <c r="B30" s="76"/>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x14ac:dyDescent="0.35">
      <c r="A31" s="12"/>
      <c r="B31" s="75"/>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x14ac:dyDescent="0.35">
      <c r="A32" s="12"/>
      <c r="B32" s="75"/>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x14ac:dyDescent="0.35">
      <c r="A33" s="12"/>
      <c r="B33" s="75"/>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x14ac:dyDescent="0.35">
      <c r="A34" s="12"/>
      <c r="B34" s="76"/>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x14ac:dyDescent="0.35">
      <c r="A35" s="12"/>
      <c r="B35" s="75"/>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x14ac:dyDescent="0.35">
      <c r="A36" s="12"/>
      <c r="B36" s="75"/>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x14ac:dyDescent="0.35">
      <c r="A38" s="12"/>
      <c r="B38" s="33"/>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x14ac:dyDescent="0.35">
      <c r="A39" s="12"/>
      <c r="B39" s="75"/>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x14ac:dyDescent="0.35">
      <c r="A40" s="12"/>
      <c r="B40" s="76"/>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x14ac:dyDescent="0.35">
      <c r="A41" s="12"/>
      <c r="B41" s="75"/>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x14ac:dyDescent="0.35">
      <c r="A42" s="12"/>
      <c r="B42" s="76"/>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x14ac:dyDescent="0.35">
      <c r="A43" s="12"/>
      <c r="B43" s="75"/>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x14ac:dyDescent="0.35">
      <c r="A44" s="12"/>
      <c r="B44" s="75"/>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x14ac:dyDescent="0.35">
      <c r="A45" s="12"/>
      <c r="B45" s="75"/>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x14ac:dyDescent="0.35">
      <c r="A46" s="12"/>
      <c r="B46" s="75"/>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x14ac:dyDescent="0.35">
      <c r="A47" s="12"/>
      <c r="B47" s="75"/>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x14ac:dyDescent="0.35">
      <c r="A48" s="12"/>
      <c r="B48" s="76"/>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75"/>
  <sheetViews>
    <sheetView zoomScale="70" zoomScaleNormal="70" workbookViewId="0">
      <pane xSplit="1" ySplit="1" topLeftCell="B50" activePane="bottomRight" state="frozen"/>
      <selection pane="topRight" activeCell="B1" sqref="B1"/>
      <selection pane="bottomLeft" activeCell="A2" sqref="A2"/>
      <selection pane="bottomRight" activeCell="C53" sqref="C53"/>
    </sheetView>
  </sheetViews>
  <sheetFormatPr defaultRowHeight="14.5" x14ac:dyDescent="0.35"/>
  <cols>
    <col min="2" max="2" width="52.81640625" bestFit="1" customWidth="1"/>
    <col min="3" max="3" width="9.54296875" bestFit="1" customWidth="1"/>
    <col min="4" max="4" width="10.453125" customWidth="1"/>
  </cols>
  <sheetData>
    <row r="1" spans="1:9" ht="17" customHeight="1" x14ac:dyDescent="0.4">
      <c r="A1" s="73" t="s">
        <v>239</v>
      </c>
      <c r="B1" s="74"/>
      <c r="C1" s="150" t="s">
        <v>240</v>
      </c>
      <c r="D1" s="136"/>
      <c r="E1" s="136"/>
      <c r="F1" s="74"/>
    </row>
    <row r="3" spans="1:9" x14ac:dyDescent="0.35">
      <c r="A3" t="s">
        <v>241</v>
      </c>
      <c r="C3" t="s">
        <v>242</v>
      </c>
      <c r="E3" t="s">
        <v>243</v>
      </c>
      <c r="I3" t="s">
        <v>244</v>
      </c>
    </row>
    <row r="4" spans="1:9" x14ac:dyDescent="0.35">
      <c r="B4" t="s">
        <v>245</v>
      </c>
      <c r="C4" s="22">
        <v>257</v>
      </c>
      <c r="E4" t="s">
        <v>246</v>
      </c>
    </row>
    <row r="5" spans="1:9" x14ac:dyDescent="0.35">
      <c r="B5" t="s">
        <v>247</v>
      </c>
      <c r="C5" s="22">
        <v>257</v>
      </c>
      <c r="E5" t="s">
        <v>248</v>
      </c>
    </row>
    <row r="6" spans="1:9" x14ac:dyDescent="0.35">
      <c r="B6" t="s">
        <v>249</v>
      </c>
      <c r="C6" s="22">
        <v>296</v>
      </c>
      <c r="E6" t="s">
        <v>250</v>
      </c>
    </row>
    <row r="7" spans="1:9" x14ac:dyDescent="0.35">
      <c r="B7" t="s">
        <v>251</v>
      </c>
      <c r="C7" s="22">
        <v>296</v>
      </c>
      <c r="E7" t="s">
        <v>252</v>
      </c>
    </row>
    <row r="8" spans="1:9" x14ac:dyDescent="0.35">
      <c r="B8" t="s">
        <v>253</v>
      </c>
      <c r="C8" s="22">
        <v>40</v>
      </c>
      <c r="E8" t="s">
        <v>254</v>
      </c>
    </row>
    <row r="10" spans="1:9" x14ac:dyDescent="0.35">
      <c r="B10" t="s">
        <v>255</v>
      </c>
      <c r="C10">
        <f>IF(C8=40,C4,C5)</f>
        <v>257</v>
      </c>
      <c r="E10" t="s">
        <v>256</v>
      </c>
    </row>
    <row r="11" spans="1:9" x14ac:dyDescent="0.35">
      <c r="B11" t="s">
        <v>257</v>
      </c>
      <c r="C11">
        <f>IF(C8=40,C6,C7)</f>
        <v>296</v>
      </c>
      <c r="E11" t="s">
        <v>258</v>
      </c>
    </row>
    <row r="13" spans="1:9" x14ac:dyDescent="0.35">
      <c r="A13" t="s">
        <v>259</v>
      </c>
    </row>
    <row r="14" spans="1:9" x14ac:dyDescent="0.35">
      <c r="B14" t="s">
        <v>260</v>
      </c>
      <c r="C14" s="22">
        <v>11589</v>
      </c>
      <c r="E14" t="s">
        <v>261</v>
      </c>
    </row>
    <row r="16" spans="1:9" x14ac:dyDescent="0.35">
      <c r="A16" t="s">
        <v>262</v>
      </c>
    </row>
    <row r="17" spans="1:9" x14ac:dyDescent="0.35">
      <c r="B17" t="s">
        <v>263</v>
      </c>
      <c r="C17" s="22">
        <v>0.15</v>
      </c>
      <c r="E17" t="s">
        <v>264</v>
      </c>
    </row>
    <row r="18" spans="1:9" x14ac:dyDescent="0.35">
      <c r="B18" t="s">
        <v>265</v>
      </c>
      <c r="C18" s="22">
        <v>5013</v>
      </c>
      <c r="E18" t="s">
        <v>266</v>
      </c>
    </row>
    <row r="19" spans="1:9" x14ac:dyDescent="0.35">
      <c r="B19" t="s">
        <v>267</v>
      </c>
      <c r="C19">
        <f>C17*C18</f>
        <v>751.94999999999993</v>
      </c>
      <c r="E19" t="s">
        <v>268</v>
      </c>
    </row>
    <row r="20" spans="1:9" x14ac:dyDescent="0.35">
      <c r="B20" t="s">
        <v>269</v>
      </c>
      <c r="C20" s="22">
        <v>1</v>
      </c>
      <c r="E20" t="s">
        <v>270</v>
      </c>
    </row>
    <row r="21" spans="1:9" x14ac:dyDescent="0.35">
      <c r="B21" t="s">
        <v>271</v>
      </c>
      <c r="C21" s="22">
        <v>5200</v>
      </c>
      <c r="E21" t="s">
        <v>272</v>
      </c>
      <c r="I21" t="s">
        <v>273</v>
      </c>
    </row>
    <row r="22" spans="1:9" x14ac:dyDescent="0.35">
      <c r="B22" t="s">
        <v>274</v>
      </c>
      <c r="C22" s="22">
        <v>2.5000000000000001E-2</v>
      </c>
      <c r="E22" t="s">
        <v>275</v>
      </c>
    </row>
    <row r="23" spans="1:9" x14ac:dyDescent="0.35">
      <c r="B23" t="s">
        <v>276</v>
      </c>
      <c r="C23" s="22">
        <v>0.6</v>
      </c>
      <c r="E23" t="s">
        <v>277</v>
      </c>
    </row>
    <row r="24" spans="1:9" x14ac:dyDescent="0.35">
      <c r="B24" t="s">
        <v>278</v>
      </c>
      <c r="C24" s="22">
        <v>0.85</v>
      </c>
      <c r="E24" t="s">
        <v>279</v>
      </c>
    </row>
    <row r="26" spans="1:9" x14ac:dyDescent="0.35">
      <c r="A26" s="27" t="s">
        <v>280</v>
      </c>
    </row>
    <row r="28" spans="1:9" x14ac:dyDescent="0.35">
      <c r="B28" t="s">
        <v>281</v>
      </c>
      <c r="C28" s="22">
        <v>0</v>
      </c>
      <c r="E28" t="s">
        <v>282</v>
      </c>
    </row>
    <row r="29" spans="1:9" x14ac:dyDescent="0.35">
      <c r="B29" t="s">
        <v>283</v>
      </c>
      <c r="C29">
        <f>BaselineCalc!$B$22</f>
        <v>1000000</v>
      </c>
      <c r="E29" t="s">
        <v>284</v>
      </c>
    </row>
    <row r="30" spans="1:9" x14ac:dyDescent="0.35">
      <c r="B30" t="s">
        <v>285</v>
      </c>
      <c r="C30" s="22">
        <v>800000</v>
      </c>
      <c r="E30" t="s">
        <v>286</v>
      </c>
    </row>
    <row r="31" spans="1:9" x14ac:dyDescent="0.35">
      <c r="B31" t="s">
        <v>287</v>
      </c>
      <c r="C31" s="22">
        <v>1000000</v>
      </c>
      <c r="E31" t="s">
        <v>288</v>
      </c>
    </row>
    <row r="32" spans="1:9" x14ac:dyDescent="0.35">
      <c r="B32" t="s">
        <v>289</v>
      </c>
      <c r="C32" s="22">
        <v>0</v>
      </c>
      <c r="E32" t="s">
        <v>290</v>
      </c>
    </row>
    <row r="33" spans="2:5" x14ac:dyDescent="0.35">
      <c r="B33" t="s">
        <v>291</v>
      </c>
      <c r="C33" s="22">
        <v>800000</v>
      </c>
      <c r="E33" t="s">
        <v>292</v>
      </c>
    </row>
    <row r="34" spans="2:5" x14ac:dyDescent="0.35">
      <c r="B34" t="s">
        <v>293</v>
      </c>
      <c r="C34" s="22">
        <v>12000</v>
      </c>
      <c r="E34" t="s">
        <v>294</v>
      </c>
    </row>
    <row r="35" spans="2:5" x14ac:dyDescent="0.35">
      <c r="B35" t="s">
        <v>295</v>
      </c>
      <c r="C35" s="22">
        <v>300</v>
      </c>
      <c r="E35" t="s">
        <v>296</v>
      </c>
    </row>
    <row r="36" spans="2:5" x14ac:dyDescent="0.35">
      <c r="B36" t="s">
        <v>297</v>
      </c>
      <c r="C36" s="22">
        <v>100</v>
      </c>
      <c r="E36" t="s">
        <v>298</v>
      </c>
    </row>
    <row r="38" spans="2:5" x14ac:dyDescent="0.35">
      <c r="B38" t="s">
        <v>299</v>
      </c>
      <c r="C38" s="22">
        <v>0.7</v>
      </c>
      <c r="E38" t="s">
        <v>300</v>
      </c>
    </row>
    <row r="39" spans="2:5" x14ac:dyDescent="0.35">
      <c r="B39" t="s">
        <v>301</v>
      </c>
      <c r="C39" s="22">
        <v>0.3</v>
      </c>
    </row>
    <row r="40" spans="2:5" x14ac:dyDescent="0.35">
      <c r="B40" t="s">
        <v>302</v>
      </c>
      <c r="C40" s="22">
        <v>1</v>
      </c>
    </row>
    <row r="41" spans="2:5" x14ac:dyDescent="0.35">
      <c r="B41" t="s">
        <v>303</v>
      </c>
      <c r="C41" s="22">
        <v>0</v>
      </c>
    </row>
    <row r="43" spans="2:5" x14ac:dyDescent="0.35">
      <c r="B43" t="s">
        <v>304</v>
      </c>
      <c r="C43" s="22">
        <v>0.6</v>
      </c>
      <c r="E43" t="s">
        <v>305</v>
      </c>
    </row>
    <row r="44" spans="2:5" x14ac:dyDescent="0.35">
      <c r="B44" t="s">
        <v>306</v>
      </c>
      <c r="C44" s="22">
        <v>-0.02</v>
      </c>
      <c r="E44" t="s">
        <v>307</v>
      </c>
    </row>
    <row r="45" spans="2:5" x14ac:dyDescent="0.35">
      <c r="B45" t="s">
        <v>308</v>
      </c>
      <c r="C45" s="22">
        <v>-0.02</v>
      </c>
      <c r="E45" t="s">
        <v>307</v>
      </c>
    </row>
    <row r="47" spans="2:5" x14ac:dyDescent="0.35">
      <c r="B47" t="s">
        <v>309</v>
      </c>
      <c r="C47" s="22">
        <v>0.2</v>
      </c>
      <c r="E47" t="s">
        <v>310</v>
      </c>
    </row>
    <row r="49" spans="1:5" x14ac:dyDescent="0.35">
      <c r="B49" t="s">
        <v>311</v>
      </c>
      <c r="C49" s="22">
        <v>0.85</v>
      </c>
      <c r="E49" t="s">
        <v>312</v>
      </c>
    </row>
    <row r="51" spans="1:5" x14ac:dyDescent="0.35">
      <c r="A51" t="s">
        <v>313</v>
      </c>
    </row>
    <row r="52" spans="1:5" x14ac:dyDescent="0.35">
      <c r="B52" t="s">
        <v>314</v>
      </c>
      <c r="C52" s="22">
        <v>10000</v>
      </c>
    </row>
    <row r="53" spans="1:5" x14ac:dyDescent="0.35">
      <c r="B53" t="s">
        <v>315</v>
      </c>
      <c r="C53" s="22">
        <v>31</v>
      </c>
    </row>
    <row r="54" spans="1:5" x14ac:dyDescent="0.35">
      <c r="B54" t="s">
        <v>316</v>
      </c>
      <c r="C54" s="22">
        <v>4</v>
      </c>
    </row>
    <row r="55" spans="1:5" x14ac:dyDescent="0.35">
      <c r="B55" t="s">
        <v>317</v>
      </c>
      <c r="C55" s="22">
        <v>2026</v>
      </c>
    </row>
    <row r="56" spans="1:5" x14ac:dyDescent="0.35">
      <c r="B56" t="s">
        <v>318</v>
      </c>
      <c r="C56" s="22">
        <v>0.5</v>
      </c>
    </row>
    <row r="57" spans="1:5" x14ac:dyDescent="0.35">
      <c r="B57" t="s">
        <v>319</v>
      </c>
      <c r="C57" s="22">
        <v>0.7</v>
      </c>
    </row>
    <row r="58" spans="1:5" x14ac:dyDescent="0.35">
      <c r="B58" t="s">
        <v>320</v>
      </c>
      <c r="C58" s="22">
        <v>0.8</v>
      </c>
    </row>
    <row r="59" spans="1:5" x14ac:dyDescent="0.35">
      <c r="B59" t="s">
        <v>321</v>
      </c>
      <c r="C59" s="22">
        <v>0.9</v>
      </c>
    </row>
    <row r="60" spans="1:5" x14ac:dyDescent="0.35">
      <c r="B60" t="s">
        <v>322</v>
      </c>
      <c r="C60" s="22">
        <v>1</v>
      </c>
    </row>
    <row r="61" spans="1:5" x14ac:dyDescent="0.35">
      <c r="B61" t="s">
        <v>323</v>
      </c>
      <c r="C61" s="22">
        <v>6</v>
      </c>
    </row>
    <row r="62" spans="1:5" x14ac:dyDescent="0.35">
      <c r="B62" t="s">
        <v>324</v>
      </c>
      <c r="C62" s="22">
        <v>0</v>
      </c>
    </row>
    <row r="63" spans="1:5" x14ac:dyDescent="0.35">
      <c r="B63" t="s">
        <v>325</v>
      </c>
      <c r="C63" s="22">
        <v>0</v>
      </c>
    </row>
    <row r="65" spans="1:3" x14ac:dyDescent="0.35">
      <c r="A65" t="s">
        <v>326</v>
      </c>
    </row>
    <row r="66" spans="1:3" x14ac:dyDescent="0.35">
      <c r="B66" t="s">
        <v>327</v>
      </c>
      <c r="C66" s="22">
        <v>2</v>
      </c>
    </row>
    <row r="67" spans="1:3" x14ac:dyDescent="0.35">
      <c r="B67" t="s">
        <v>328</v>
      </c>
      <c r="C67" s="22">
        <v>18</v>
      </c>
    </row>
    <row r="68" spans="1:3" x14ac:dyDescent="0.35">
      <c r="B68" t="s">
        <v>329</v>
      </c>
      <c r="C68" s="22">
        <v>0.85</v>
      </c>
    </row>
    <row r="69" spans="1:3" x14ac:dyDescent="0.35">
      <c r="B69" t="s">
        <v>330</v>
      </c>
      <c r="C69" s="22">
        <v>800</v>
      </c>
    </row>
    <row r="70" spans="1:3" x14ac:dyDescent="0.35">
      <c r="B70" t="s">
        <v>331</v>
      </c>
      <c r="C70" s="22">
        <v>10</v>
      </c>
    </row>
    <row r="71" spans="1:3" x14ac:dyDescent="0.35">
      <c r="B71" t="s">
        <v>332</v>
      </c>
      <c r="C71" s="22">
        <v>120000</v>
      </c>
    </row>
    <row r="72" spans="1:3" x14ac:dyDescent="0.35">
      <c r="B72" t="s">
        <v>333</v>
      </c>
      <c r="C72" s="22">
        <v>0</v>
      </c>
    </row>
    <row r="73" spans="1:3" x14ac:dyDescent="0.35">
      <c r="B73" t="s">
        <v>334</v>
      </c>
      <c r="C73" s="22">
        <v>36</v>
      </c>
    </row>
    <row r="74" spans="1:3" x14ac:dyDescent="0.35">
      <c r="B74" t="s">
        <v>335</v>
      </c>
      <c r="C74" s="22">
        <v>10</v>
      </c>
    </row>
    <row r="75" spans="1:3" x14ac:dyDescent="0.35">
      <c r="B75" t="s">
        <v>336</v>
      </c>
      <c r="C75" s="22">
        <v>0</v>
      </c>
    </row>
  </sheetData>
  <mergeCells count="1">
    <mergeCell ref="C1:E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72"/>
  <sheetViews>
    <sheetView topLeftCell="A66" zoomScale="70" zoomScaleNormal="70" workbookViewId="0">
      <pane xSplit="1" topLeftCell="B1" activePane="topRight" state="frozen"/>
      <selection pane="topRight" activeCell="B73" sqref="B73"/>
    </sheetView>
  </sheetViews>
  <sheetFormatPr defaultRowHeight="13" x14ac:dyDescent="0.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12" width="8.7265625" style="7" customWidth="1"/>
    <col min="13" max="16384" width="8.7265625" style="7"/>
  </cols>
  <sheetData>
    <row r="1" spans="1:7" x14ac:dyDescent="0.3">
      <c r="A1" s="151" t="s">
        <v>337</v>
      </c>
      <c r="B1" s="152"/>
      <c r="C1" s="152"/>
      <c r="D1" s="152"/>
      <c r="E1" s="152"/>
      <c r="F1" s="152"/>
    </row>
    <row r="2" spans="1:7" ht="14.5" customHeight="1" x14ac:dyDescent="0.35">
      <c r="A2" s="53" t="s">
        <v>338</v>
      </c>
      <c r="B2" s="53" t="s">
        <v>339</v>
      </c>
      <c r="C2" s="53" t="s">
        <v>340</v>
      </c>
      <c r="D2" s="53" t="s">
        <v>341</v>
      </c>
      <c r="E2" s="53" t="s">
        <v>342</v>
      </c>
      <c r="F2" s="53" t="s">
        <v>343</v>
      </c>
      <c r="G2" s="70" t="s">
        <v>344</v>
      </c>
    </row>
    <row r="3" spans="1:7" ht="14.5" customHeight="1" x14ac:dyDescent="0.35">
      <c r="A3" s="7" t="s">
        <v>345</v>
      </c>
      <c r="B3" s="7" t="s">
        <v>346</v>
      </c>
      <c r="C3" s="7" t="s">
        <v>347</v>
      </c>
      <c r="D3" s="7" t="s">
        <v>348</v>
      </c>
      <c r="E3" s="7" t="s">
        <v>349</v>
      </c>
      <c r="F3" s="7" t="s">
        <v>350</v>
      </c>
      <c r="G3" t="s">
        <v>351</v>
      </c>
    </row>
    <row r="4" spans="1:7" ht="14.5" customHeight="1" x14ac:dyDescent="0.35">
      <c r="A4" s="7" t="s">
        <v>352</v>
      </c>
      <c r="B4" s="7" t="s">
        <v>353</v>
      </c>
      <c r="C4" s="7" t="s">
        <v>354</v>
      </c>
      <c r="D4" s="7" t="s">
        <v>355</v>
      </c>
      <c r="E4" s="7" t="s">
        <v>349</v>
      </c>
      <c r="F4" s="7" t="s">
        <v>356</v>
      </c>
      <c r="G4" t="s">
        <v>357</v>
      </c>
    </row>
    <row r="5" spans="1:7" x14ac:dyDescent="0.3">
      <c r="A5" s="7" t="s">
        <v>358</v>
      </c>
      <c r="B5" s="7" t="s">
        <v>359</v>
      </c>
      <c r="C5" s="7" t="s">
        <v>360</v>
      </c>
      <c r="D5" s="7" t="s">
        <v>361</v>
      </c>
      <c r="E5" s="7" t="s">
        <v>362</v>
      </c>
      <c r="F5" s="7" t="s">
        <v>363</v>
      </c>
    </row>
    <row r="6" spans="1:7" x14ac:dyDescent="0.3">
      <c r="A6" s="7" t="s">
        <v>364</v>
      </c>
      <c r="B6" s="7" t="s">
        <v>365</v>
      </c>
      <c r="C6" s="7" t="s">
        <v>366</v>
      </c>
      <c r="D6" s="7" t="s">
        <v>367</v>
      </c>
      <c r="E6" s="7" t="s">
        <v>349</v>
      </c>
      <c r="F6" s="7" t="s">
        <v>368</v>
      </c>
    </row>
    <row r="7" spans="1:7" ht="14.5" customHeight="1" x14ac:dyDescent="0.35">
      <c r="A7" s="7" t="s">
        <v>369</v>
      </c>
      <c r="B7" s="7" t="s">
        <v>370</v>
      </c>
      <c r="C7" s="7" t="s">
        <v>371</v>
      </c>
      <c r="D7" s="7" t="s">
        <v>372</v>
      </c>
      <c r="E7" s="7" t="s">
        <v>349</v>
      </c>
      <c r="F7" s="7" t="s">
        <v>373</v>
      </c>
      <c r="G7" t="s">
        <v>374</v>
      </c>
    </row>
    <row r="8" spans="1:7" ht="14.5" customHeight="1" x14ac:dyDescent="0.35">
      <c r="A8" s="7" t="s">
        <v>375</v>
      </c>
      <c r="B8" s="7" t="s">
        <v>376</v>
      </c>
      <c r="C8" s="7" t="s">
        <v>377</v>
      </c>
      <c r="D8" s="7" t="s">
        <v>378</v>
      </c>
      <c r="E8" s="7" t="s">
        <v>379</v>
      </c>
      <c r="F8" s="7" t="s">
        <v>380</v>
      </c>
      <c r="G8" t="s">
        <v>381</v>
      </c>
    </row>
    <row r="9" spans="1:7" ht="14.5" customHeight="1" x14ac:dyDescent="0.35">
      <c r="A9" s="7" t="s">
        <v>382</v>
      </c>
      <c r="B9" s="7" t="s">
        <v>383</v>
      </c>
      <c r="C9" s="7" t="s">
        <v>384</v>
      </c>
      <c r="D9" s="7" t="s">
        <v>385</v>
      </c>
      <c r="E9" s="7" t="s">
        <v>386</v>
      </c>
      <c r="F9" s="7" t="s">
        <v>387</v>
      </c>
      <c r="G9" t="s">
        <v>388</v>
      </c>
    </row>
    <row r="10" spans="1:7" ht="14.5" customHeight="1" x14ac:dyDescent="0.35">
      <c r="A10" s="7" t="s">
        <v>389</v>
      </c>
      <c r="B10" s="7" t="s">
        <v>390</v>
      </c>
      <c r="C10" s="7" t="s">
        <v>391</v>
      </c>
      <c r="D10" s="7" t="s">
        <v>392</v>
      </c>
      <c r="E10" s="7" t="s">
        <v>349</v>
      </c>
      <c r="F10" s="7" t="s">
        <v>393</v>
      </c>
      <c r="G10" t="s">
        <v>394</v>
      </c>
    </row>
    <row r="12" spans="1:7" x14ac:dyDescent="0.3">
      <c r="A12" s="151" t="s">
        <v>395</v>
      </c>
      <c r="B12" s="152"/>
      <c r="C12" s="152"/>
      <c r="D12" s="152"/>
      <c r="E12" s="152"/>
      <c r="F12" s="152"/>
    </row>
    <row r="13" spans="1:7" x14ac:dyDescent="0.3">
      <c r="A13" s="53" t="s">
        <v>396</v>
      </c>
      <c r="B13" s="53" t="s">
        <v>397</v>
      </c>
      <c r="C13" s="53" t="s">
        <v>398</v>
      </c>
      <c r="D13" s="53" t="s">
        <v>399</v>
      </c>
      <c r="E13" s="53" t="s">
        <v>243</v>
      </c>
      <c r="F13" s="53" t="s">
        <v>400</v>
      </c>
    </row>
    <row r="14" spans="1:7" x14ac:dyDescent="0.3">
      <c r="A14" s="7" t="s">
        <v>401</v>
      </c>
      <c r="B14" s="7" t="s">
        <v>402</v>
      </c>
      <c r="C14" s="7" t="s">
        <v>403</v>
      </c>
      <c r="D14" s="7" t="s">
        <v>404</v>
      </c>
      <c r="E14" s="7" t="s">
        <v>405</v>
      </c>
    </row>
    <row r="15" spans="1:7" x14ac:dyDescent="0.3">
      <c r="A15" s="7" t="s">
        <v>406</v>
      </c>
      <c r="B15" s="7" t="s">
        <v>407</v>
      </c>
      <c r="C15" s="7" t="s">
        <v>408</v>
      </c>
      <c r="D15" s="7" t="s">
        <v>409</v>
      </c>
    </row>
    <row r="16" spans="1:7" x14ac:dyDescent="0.3">
      <c r="A16" s="7" t="s">
        <v>410</v>
      </c>
      <c r="B16" s="7" t="s">
        <v>411</v>
      </c>
      <c r="C16" s="7" t="s">
        <v>408</v>
      </c>
      <c r="D16" s="7" t="s">
        <v>412</v>
      </c>
    </row>
    <row r="17" spans="1:6" x14ac:dyDescent="0.3">
      <c r="A17" s="7" t="s">
        <v>413</v>
      </c>
      <c r="B17" s="7" t="s">
        <v>414</v>
      </c>
      <c r="C17" s="7" t="s">
        <v>408</v>
      </c>
      <c r="D17" s="7" t="s">
        <v>415</v>
      </c>
    </row>
    <row r="18" spans="1:6" x14ac:dyDescent="0.3">
      <c r="A18" s="7" t="s">
        <v>416</v>
      </c>
      <c r="B18" s="7" t="s">
        <v>417</v>
      </c>
      <c r="C18" s="7" t="s">
        <v>408</v>
      </c>
      <c r="D18" s="7" t="s">
        <v>418</v>
      </c>
    </row>
    <row r="19" spans="1:6" x14ac:dyDescent="0.3">
      <c r="A19" s="7" t="s">
        <v>419</v>
      </c>
      <c r="B19" s="7" t="s">
        <v>420</v>
      </c>
      <c r="C19" s="7" t="s">
        <v>421</v>
      </c>
      <c r="D19" s="7" t="s">
        <v>422</v>
      </c>
      <c r="E19" s="7" t="s">
        <v>423</v>
      </c>
    </row>
    <row r="20" spans="1:6" x14ac:dyDescent="0.3">
      <c r="A20" s="7" t="s">
        <v>424</v>
      </c>
      <c r="B20" s="7" t="s">
        <v>425</v>
      </c>
      <c r="C20" s="7" t="s">
        <v>426</v>
      </c>
      <c r="D20" s="7" t="s">
        <v>427</v>
      </c>
      <c r="E20" s="7" t="s">
        <v>428</v>
      </c>
    </row>
    <row r="21" spans="1:6" x14ac:dyDescent="0.3">
      <c r="A21" s="7" t="s">
        <v>429</v>
      </c>
      <c r="B21" s="7" t="s">
        <v>430</v>
      </c>
      <c r="C21" s="7" t="s">
        <v>426</v>
      </c>
      <c r="D21" s="7" t="s">
        <v>431</v>
      </c>
      <c r="E21" s="7" t="s">
        <v>432</v>
      </c>
    </row>
    <row r="22" spans="1:6" x14ac:dyDescent="0.3">
      <c r="A22" s="7" t="s">
        <v>433</v>
      </c>
      <c r="B22" s="7" t="s">
        <v>434</v>
      </c>
      <c r="C22" s="7" t="s">
        <v>435</v>
      </c>
      <c r="D22" s="7" t="s">
        <v>436</v>
      </c>
      <c r="F22" s="7" t="s">
        <v>437</v>
      </c>
    </row>
    <row r="23" spans="1:6" x14ac:dyDescent="0.3">
      <c r="A23" s="7" t="s">
        <v>438</v>
      </c>
      <c r="B23" s="7" t="s">
        <v>439</v>
      </c>
      <c r="C23" s="7" t="s">
        <v>440</v>
      </c>
      <c r="D23" s="7" t="s">
        <v>441</v>
      </c>
      <c r="E23" s="7" t="s">
        <v>442</v>
      </c>
      <c r="F23" s="7" t="s">
        <v>441</v>
      </c>
    </row>
    <row r="24" spans="1:6" x14ac:dyDescent="0.3">
      <c r="A24" s="7" t="s">
        <v>443</v>
      </c>
      <c r="B24" s="7" t="s">
        <v>444</v>
      </c>
      <c r="C24" s="7" t="s">
        <v>445</v>
      </c>
      <c r="D24" s="7" t="s">
        <v>446</v>
      </c>
      <c r="E24" s="7" t="s">
        <v>447</v>
      </c>
      <c r="F24" s="7" t="s">
        <v>446</v>
      </c>
    </row>
    <row r="25" spans="1:6" x14ac:dyDescent="0.3">
      <c r="A25" s="7" t="s">
        <v>448</v>
      </c>
      <c r="B25" s="7" t="s">
        <v>449</v>
      </c>
      <c r="C25" s="7" t="s">
        <v>450</v>
      </c>
      <c r="D25" s="7" t="s">
        <v>451</v>
      </c>
      <c r="E25" s="7" t="s">
        <v>452</v>
      </c>
      <c r="F25" s="7" t="s">
        <v>453</v>
      </c>
    </row>
    <row r="26" spans="1:6" x14ac:dyDescent="0.3">
      <c r="A26" s="7" t="s">
        <v>454</v>
      </c>
      <c r="B26" s="7" t="s">
        <v>455</v>
      </c>
      <c r="C26" s="7" t="s">
        <v>456</v>
      </c>
      <c r="D26" s="7" t="s">
        <v>457</v>
      </c>
      <c r="E26" s="7" t="s">
        <v>458</v>
      </c>
      <c r="F26" s="7" t="s">
        <v>459</v>
      </c>
    </row>
    <row r="27" spans="1:6" x14ac:dyDescent="0.3">
      <c r="A27" s="7" t="s">
        <v>460</v>
      </c>
      <c r="B27" s="7" t="s">
        <v>461</v>
      </c>
      <c r="C27" s="7" t="s">
        <v>462</v>
      </c>
      <c r="D27" s="7" t="s">
        <v>463</v>
      </c>
      <c r="E27" s="7" t="s">
        <v>464</v>
      </c>
    </row>
    <row r="28" spans="1:6" ht="14.5" customHeight="1" x14ac:dyDescent="0.35">
      <c r="A28" t="s">
        <v>465</v>
      </c>
      <c r="B28" t="s">
        <v>466</v>
      </c>
      <c r="C28" t="s">
        <v>467</v>
      </c>
      <c r="D28" t="s">
        <v>468</v>
      </c>
      <c r="E28" t="s">
        <v>469</v>
      </c>
    </row>
    <row r="29" spans="1:6" ht="14.5" customHeight="1" x14ac:dyDescent="0.35">
      <c r="A29" s="136" t="s">
        <v>470</v>
      </c>
      <c r="B29" s="152"/>
      <c r="C29" s="152"/>
      <c r="D29" s="152"/>
      <c r="E29" s="152"/>
      <c r="F29" s="152"/>
    </row>
    <row r="30" spans="1:6" ht="14.5" customHeight="1" x14ac:dyDescent="0.35">
      <c r="A30" t="s">
        <v>471</v>
      </c>
      <c r="B30" t="s">
        <v>472</v>
      </c>
      <c r="C30" t="s">
        <v>473</v>
      </c>
      <c r="D30" t="s">
        <v>474</v>
      </c>
      <c r="E30" t="s">
        <v>475</v>
      </c>
    </row>
    <row r="31" spans="1:6" ht="14.5" customHeight="1" x14ac:dyDescent="0.35">
      <c r="A31" t="s">
        <v>476</v>
      </c>
      <c r="B31" t="s">
        <v>477</v>
      </c>
      <c r="C31" t="s">
        <v>478</v>
      </c>
      <c r="D31" t="s">
        <v>479</v>
      </c>
      <c r="E31" t="s">
        <v>480</v>
      </c>
    </row>
    <row r="32" spans="1:6" ht="14.5" customHeight="1" x14ac:dyDescent="0.35">
      <c r="A32" t="s">
        <v>481</v>
      </c>
      <c r="B32" t="s">
        <v>482</v>
      </c>
      <c r="C32" t="s">
        <v>478</v>
      </c>
      <c r="D32" t="s">
        <v>483</v>
      </c>
      <c r="E32" t="s">
        <v>484</v>
      </c>
    </row>
    <row r="33" spans="1:6" ht="14.5" customHeight="1" x14ac:dyDescent="0.35">
      <c r="A33" t="s">
        <v>485</v>
      </c>
      <c r="B33" t="s">
        <v>486</v>
      </c>
      <c r="C33" t="s">
        <v>478</v>
      </c>
      <c r="D33" t="s">
        <v>487</v>
      </c>
      <c r="E33" t="s">
        <v>488</v>
      </c>
    </row>
    <row r="34" spans="1:6" ht="14.5" customHeight="1" x14ac:dyDescent="0.3"/>
    <row r="35" spans="1:6" x14ac:dyDescent="0.3">
      <c r="A35" s="151" t="s">
        <v>489</v>
      </c>
      <c r="B35" s="152"/>
      <c r="C35" s="152"/>
      <c r="D35" s="152"/>
      <c r="E35" s="152"/>
      <c r="F35" s="152"/>
    </row>
    <row r="36" spans="1:6" x14ac:dyDescent="0.3">
      <c r="A36" s="53" t="s">
        <v>490</v>
      </c>
      <c r="B36" s="53" t="s">
        <v>491</v>
      </c>
      <c r="C36" s="53" t="s">
        <v>492</v>
      </c>
      <c r="D36" s="53" t="s">
        <v>493</v>
      </c>
      <c r="E36" s="53" t="s">
        <v>243</v>
      </c>
      <c r="F36" s="53" t="s">
        <v>342</v>
      </c>
    </row>
    <row r="37" spans="1:6" x14ac:dyDescent="0.3">
      <c r="A37" s="7" t="s">
        <v>494</v>
      </c>
      <c r="B37" s="7" t="s">
        <v>495</v>
      </c>
      <c r="C37" s="7" t="s">
        <v>496</v>
      </c>
      <c r="D37" s="7" t="s">
        <v>497</v>
      </c>
      <c r="F37" s="7" t="s">
        <v>498</v>
      </c>
    </row>
    <row r="38" spans="1:6" x14ac:dyDescent="0.3">
      <c r="A38" s="152" t="s">
        <v>499</v>
      </c>
      <c r="B38" s="152"/>
      <c r="C38" s="152"/>
      <c r="D38" s="152"/>
      <c r="E38" s="152"/>
      <c r="F38" s="152"/>
    </row>
    <row r="39" spans="1:6" x14ac:dyDescent="0.3">
      <c r="A39" s="7" t="s">
        <v>500</v>
      </c>
      <c r="B39" s="7" t="s">
        <v>501</v>
      </c>
      <c r="C39" s="7" t="s">
        <v>502</v>
      </c>
      <c r="D39" s="7" t="s">
        <v>503</v>
      </c>
      <c r="E39" s="7" t="s">
        <v>504</v>
      </c>
      <c r="F39" s="7" t="s">
        <v>505</v>
      </c>
    </row>
    <row r="40" spans="1:6" x14ac:dyDescent="0.3">
      <c r="A40" s="7" t="s">
        <v>506</v>
      </c>
      <c r="B40" s="7" t="s">
        <v>507</v>
      </c>
      <c r="C40" s="7" t="s">
        <v>508</v>
      </c>
      <c r="D40" s="7" t="s">
        <v>426</v>
      </c>
      <c r="E40" s="7" t="s">
        <v>509</v>
      </c>
      <c r="F40" s="7" t="s">
        <v>349</v>
      </c>
    </row>
    <row r="41" spans="1:6" x14ac:dyDescent="0.3">
      <c r="A41" s="7" t="s">
        <v>454</v>
      </c>
      <c r="B41" s="7" t="s">
        <v>510</v>
      </c>
      <c r="C41" s="7" t="s">
        <v>511</v>
      </c>
      <c r="D41" s="7" t="s">
        <v>512</v>
      </c>
      <c r="F41" s="7" t="s">
        <v>513</v>
      </c>
    </row>
    <row r="43" spans="1:6" x14ac:dyDescent="0.3">
      <c r="A43" s="151" t="s">
        <v>514</v>
      </c>
      <c r="B43" s="152"/>
      <c r="C43" s="152"/>
      <c r="D43" s="152"/>
      <c r="E43" s="152"/>
      <c r="F43" s="152"/>
    </row>
    <row r="44" spans="1:6" x14ac:dyDescent="0.3">
      <c r="A44" s="53" t="s">
        <v>515</v>
      </c>
      <c r="B44" s="53" t="s">
        <v>516</v>
      </c>
      <c r="C44" s="53" t="s">
        <v>517</v>
      </c>
      <c r="D44" s="53" t="s">
        <v>343</v>
      </c>
      <c r="E44" s="53" t="s">
        <v>93</v>
      </c>
      <c r="F44" s="53"/>
    </row>
    <row r="45" spans="1:6" x14ac:dyDescent="0.3">
      <c r="A45" s="7" t="s">
        <v>518</v>
      </c>
      <c r="B45" s="7" t="s">
        <v>519</v>
      </c>
      <c r="C45" s="7" t="s">
        <v>520</v>
      </c>
      <c r="D45" s="7" t="s">
        <v>393</v>
      </c>
      <c r="E45" s="7" t="s">
        <v>521</v>
      </c>
    </row>
    <row r="46" spans="1:6" x14ac:dyDescent="0.3">
      <c r="A46" s="7" t="s">
        <v>522</v>
      </c>
      <c r="B46" s="7" t="s">
        <v>519</v>
      </c>
      <c r="C46" s="7" t="s">
        <v>520</v>
      </c>
      <c r="D46" s="7" t="s">
        <v>393</v>
      </c>
      <c r="E46" s="7" t="s">
        <v>521</v>
      </c>
    </row>
    <row r="47" spans="1:6" x14ac:dyDescent="0.3">
      <c r="A47" s="7" t="s">
        <v>523</v>
      </c>
      <c r="B47" s="7" t="s">
        <v>519</v>
      </c>
      <c r="C47" s="7" t="s">
        <v>524</v>
      </c>
      <c r="D47" s="7" t="s">
        <v>387</v>
      </c>
    </row>
    <row r="48" spans="1:6" x14ac:dyDescent="0.3">
      <c r="A48" s="7" t="s">
        <v>525</v>
      </c>
      <c r="B48" s="7" t="s">
        <v>526</v>
      </c>
      <c r="C48" s="7" t="s">
        <v>527</v>
      </c>
      <c r="D48" s="7" t="s">
        <v>528</v>
      </c>
    </row>
    <row r="50" spans="1:6" x14ac:dyDescent="0.3">
      <c r="A50" s="151" t="s">
        <v>529</v>
      </c>
      <c r="B50" s="152"/>
      <c r="C50" s="152"/>
      <c r="D50" s="152"/>
      <c r="E50" s="152"/>
      <c r="F50" s="152"/>
    </row>
    <row r="51" spans="1:6" x14ac:dyDescent="0.3">
      <c r="A51" s="53" t="s">
        <v>530</v>
      </c>
      <c r="B51" s="53" t="s">
        <v>531</v>
      </c>
      <c r="C51" s="53" t="s">
        <v>532</v>
      </c>
    </row>
    <row r="52" spans="1:6" ht="182" customHeight="1" x14ac:dyDescent="0.3">
      <c r="A52" s="19" t="s">
        <v>533</v>
      </c>
      <c r="B52" s="19" t="s">
        <v>534</v>
      </c>
      <c r="C52" s="19" t="s">
        <v>535</v>
      </c>
      <c r="D52" s="19"/>
      <c r="E52" s="19"/>
    </row>
    <row r="53" spans="1:6" ht="156" customHeight="1" x14ac:dyDescent="0.3">
      <c r="A53" s="19" t="s">
        <v>536</v>
      </c>
      <c r="B53" s="19" t="s">
        <v>537</v>
      </c>
      <c r="C53" s="19" t="s">
        <v>538</v>
      </c>
      <c r="D53" s="19"/>
      <c r="E53" s="19"/>
    </row>
    <row r="54" spans="1:6" ht="169" customHeight="1" x14ac:dyDescent="0.3">
      <c r="A54" s="19" t="s">
        <v>539</v>
      </c>
      <c r="B54" s="19" t="s">
        <v>540</v>
      </c>
      <c r="C54" s="19" t="s">
        <v>541</v>
      </c>
      <c r="D54" s="19"/>
    </row>
    <row r="55" spans="1:6" ht="104" customHeight="1" x14ac:dyDescent="0.3">
      <c r="A55" s="19" t="s">
        <v>542</v>
      </c>
      <c r="B55" s="19" t="s">
        <v>543</v>
      </c>
      <c r="C55" s="19" t="s">
        <v>544</v>
      </c>
      <c r="D55" s="19"/>
    </row>
    <row r="56" spans="1:6" ht="78" customHeight="1" x14ac:dyDescent="0.3">
      <c r="A56" s="19" t="s">
        <v>545</v>
      </c>
      <c r="B56" s="19" t="s">
        <v>543</v>
      </c>
      <c r="C56" s="19" t="s">
        <v>546</v>
      </c>
      <c r="D56" s="19"/>
    </row>
    <row r="57" spans="1:6" ht="104" customHeight="1" x14ac:dyDescent="0.3">
      <c r="A57" s="19" t="s">
        <v>547</v>
      </c>
      <c r="B57" s="19" t="s">
        <v>548</v>
      </c>
      <c r="C57" s="19" t="s">
        <v>549</v>
      </c>
      <c r="D57" s="20" t="s">
        <v>550</v>
      </c>
      <c r="E57" s="20"/>
    </row>
    <row r="58" spans="1:6" ht="130.5" customHeight="1" x14ac:dyDescent="0.3">
      <c r="A58" s="82" t="s">
        <v>551</v>
      </c>
      <c r="B58" s="82" t="s">
        <v>552</v>
      </c>
      <c r="C58" s="21" t="s">
        <v>553</v>
      </c>
      <c r="D58" s="18" t="s">
        <v>554</v>
      </c>
      <c r="E58" s="18"/>
    </row>
    <row r="59" spans="1:6" ht="26" customHeight="1" x14ac:dyDescent="0.3">
      <c r="A59" s="19" t="s">
        <v>555</v>
      </c>
      <c r="B59" s="19" t="s">
        <v>556</v>
      </c>
      <c r="C59" s="19" t="s">
        <v>557</v>
      </c>
      <c r="D59" s="19"/>
    </row>
    <row r="60" spans="1:6" ht="91" customHeight="1" x14ac:dyDescent="0.3">
      <c r="A60" s="19" t="s">
        <v>470</v>
      </c>
      <c r="B60" s="19" t="s">
        <v>558</v>
      </c>
      <c r="C60" s="19" t="s">
        <v>559</v>
      </c>
      <c r="D60" s="19"/>
    </row>
    <row r="61" spans="1:6" ht="65" customHeight="1" x14ac:dyDescent="0.3">
      <c r="A61" s="19" t="s">
        <v>560</v>
      </c>
      <c r="B61" s="19" t="s">
        <v>561</v>
      </c>
      <c r="C61" s="19" t="s">
        <v>562</v>
      </c>
      <c r="D61" s="20" t="s">
        <v>563</v>
      </c>
      <c r="E61" s="20"/>
    </row>
    <row r="62" spans="1:6" ht="104" customHeight="1" x14ac:dyDescent="0.3">
      <c r="A62" s="19" t="s">
        <v>564</v>
      </c>
      <c r="B62" s="19" t="s">
        <v>565</v>
      </c>
      <c r="C62" s="19" t="s">
        <v>566</v>
      </c>
      <c r="D62" s="19"/>
    </row>
    <row r="63" spans="1:6" ht="39" customHeight="1" x14ac:dyDescent="0.3">
      <c r="A63" s="19" t="s">
        <v>567</v>
      </c>
      <c r="B63" s="19" t="s">
        <v>568</v>
      </c>
      <c r="C63" s="19" t="s">
        <v>569</v>
      </c>
      <c r="D63" s="20" t="s">
        <v>570</v>
      </c>
      <c r="E63" s="20"/>
    </row>
    <row r="64" spans="1:6" ht="39" customHeight="1" x14ac:dyDescent="0.3">
      <c r="A64" s="19" t="s">
        <v>571</v>
      </c>
      <c r="B64" s="19" t="s">
        <v>572</v>
      </c>
      <c r="C64" s="19" t="s">
        <v>573</v>
      </c>
      <c r="D64" s="19"/>
    </row>
    <row r="65" spans="1:5" ht="117" customHeight="1" x14ac:dyDescent="0.3">
      <c r="A65" s="19" t="s">
        <v>574</v>
      </c>
      <c r="B65" s="19" t="s">
        <v>575</v>
      </c>
      <c r="C65" s="19" t="s">
        <v>576</v>
      </c>
      <c r="D65" s="19"/>
    </row>
    <row r="66" spans="1:5" ht="52" customHeight="1" x14ac:dyDescent="0.3">
      <c r="A66" s="19" t="s">
        <v>577</v>
      </c>
      <c r="B66" s="19" t="s">
        <v>578</v>
      </c>
      <c r="C66" s="19" t="s">
        <v>579</v>
      </c>
      <c r="D66" s="19"/>
    </row>
    <row r="67" spans="1:5" ht="65" customHeight="1" x14ac:dyDescent="0.3">
      <c r="A67" s="19" t="s">
        <v>580</v>
      </c>
      <c r="B67" s="19" t="s">
        <v>581</v>
      </c>
      <c r="C67" s="19"/>
      <c r="D67" s="19"/>
    </row>
    <row r="68" spans="1:5" ht="52" customHeight="1" x14ac:dyDescent="0.3">
      <c r="A68" s="19" t="s">
        <v>582</v>
      </c>
      <c r="B68" s="19" t="s">
        <v>583</v>
      </c>
      <c r="C68" s="19" t="s">
        <v>584</v>
      </c>
      <c r="D68" s="19"/>
    </row>
    <row r="69" spans="1:5" ht="52" customHeight="1" x14ac:dyDescent="0.3">
      <c r="A69" s="19" t="s">
        <v>585</v>
      </c>
      <c r="B69" s="19" t="s">
        <v>586</v>
      </c>
      <c r="C69" s="19" t="s">
        <v>587</v>
      </c>
      <c r="D69" s="20" t="s">
        <v>588</v>
      </c>
      <c r="E69" s="20"/>
    </row>
    <row r="70" spans="1:5" ht="65" customHeight="1" x14ac:dyDescent="0.3">
      <c r="A70" s="19" t="s">
        <v>589</v>
      </c>
      <c r="B70" s="19" t="s">
        <v>590</v>
      </c>
      <c r="C70" s="19" t="s">
        <v>591</v>
      </c>
      <c r="D70" s="20" t="s">
        <v>592</v>
      </c>
      <c r="E70" s="20"/>
    </row>
    <row r="71" spans="1:5" ht="58" customHeight="1" x14ac:dyDescent="0.35">
      <c r="A71" s="82" t="s">
        <v>194</v>
      </c>
      <c r="B71" s="82" t="s">
        <v>593</v>
      </c>
      <c r="C71" s="82" t="s">
        <v>594</v>
      </c>
      <c r="D71" s="83" t="s">
        <v>595</v>
      </c>
      <c r="E71" s="82" t="s">
        <v>596</v>
      </c>
    </row>
    <row r="72" spans="1:5" ht="43.5" customHeight="1" x14ac:dyDescent="0.3">
      <c r="A72" s="7" t="s">
        <v>597</v>
      </c>
      <c r="B72" s="19" t="s">
        <v>598</v>
      </c>
      <c r="C72" s="7" t="s">
        <v>599</v>
      </c>
    </row>
  </sheetData>
  <mergeCells count="7">
    <mergeCell ref="A43:F43"/>
    <mergeCell ref="A50:F50"/>
    <mergeCell ref="A1:F1"/>
    <mergeCell ref="A12:F12"/>
    <mergeCell ref="A29:F29"/>
    <mergeCell ref="A38:F38"/>
    <mergeCell ref="A35:F35"/>
  </mergeCells>
  <hyperlinks>
    <hyperlink ref="C52" r:id="rId1" tooltip="Microsoft Word - FS ACFR FY24 Scottsdale USD" display="https://www.susd.org/fs/resource-manager/view/01a0856f-3a75-4ceb-9e90-02f85099b68d" xr:uid="{00000000-0004-0000-0A00-000000000000}"/>
    <hyperlink ref="C53" r:id="rId2" tooltip="sdspending.azauditor.gov" display="https://sdspending.azauditor.gov/" xr:uid="{00000000-0004-0000-0A00-000001000000}"/>
    <hyperlink ref="C56" r:id="rId3" tooltip="List Of Groups - Sun Devil Central - Arizona State University" display="https://sundevilcentral.eoss.asu.edu/club_signup?category_tags=6551555&amp;group_type=&amp;view=all&amp;utm_source=chatgpt.com" xr:uid="{00000000-0004-0000-0A00-000002000000}"/>
    <hyperlink ref="D58" r:id="rId4" tooltip="School Closings in Chicago" display="https://consortium.uchicago.edu/publications/school-closings-chicago-staff-and-student-experiences-and-academic-outcomes?utm_source=chatgpt.com" xr:uid="{00000000-0004-0000-0A00-000003000000}"/>
    <hyperlink ref="C66" r:id="rId5" tooltip="Bill Text: AZ HB2969 | 2025 | Fifty-seventh Legislature 1st ..." xr:uid="{00000000-0004-0000-0A00-000004000000}"/>
    <hyperlink ref="D71" r:id="rId6" tooltip="HOW TO CALCULATE OPERATIONAL AND ..." display="https://www.azauditor.gov/sites/default/files/2023-09/HowToCalculateOperational-NonoperationalSpending.pdf?utm_source=chatgpt.com" xr:uid="{00000000-0004-0000-0A00-000005000000}"/>
  </hyperlinks>
  <pageMargins left="0.75" right="0.75" top="1" bottom="1"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87"/>
  <sheetViews>
    <sheetView zoomScale="70" zoomScaleNormal="70" workbookViewId="0">
      <pane xSplit="2" ySplit="2" topLeftCell="D3" activePane="bottomRight" state="frozen"/>
      <selection pane="topRight" activeCell="C1" sqref="C1"/>
      <selection pane="bottomLeft" activeCell="A2" sqref="A2"/>
      <selection pane="bottomRight" activeCell="A12" activeCellId="4" sqref="A6:B6 A9:B9 A10:B10 A11:B11 A12:B15"/>
    </sheetView>
  </sheetViews>
  <sheetFormatPr defaultRowHeight="14.5" x14ac:dyDescent="0.35"/>
  <cols>
    <col min="1" max="1" width="26.1796875" bestFit="1" customWidth="1"/>
    <col min="2" max="2" width="79.6328125" customWidth="1"/>
    <col min="3" max="3" width="16.08984375" customWidth="1"/>
    <col min="4" max="4" width="11.08984375" customWidth="1"/>
    <col min="5"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x14ac:dyDescent="0.35">
      <c r="C1" s="153" t="s">
        <v>240</v>
      </c>
      <c r="D1" s="141"/>
      <c r="E1" s="141"/>
      <c r="F1" s="141"/>
      <c r="G1" s="141"/>
    </row>
    <row r="2" spans="1:18" ht="58" customHeight="1" x14ac:dyDescent="0.35">
      <c r="A2" s="1" t="s">
        <v>600</v>
      </c>
      <c r="B2" s="1" t="s">
        <v>601</v>
      </c>
      <c r="C2" s="71" t="s">
        <v>602</v>
      </c>
      <c r="D2" s="71" t="s">
        <v>603</v>
      </c>
      <c r="E2" s="71" t="s">
        <v>604</v>
      </c>
      <c r="F2" s="71" t="s">
        <v>605</v>
      </c>
      <c r="G2" s="71" t="s">
        <v>606</v>
      </c>
      <c r="H2" s="1" t="s">
        <v>243</v>
      </c>
      <c r="I2" t="s">
        <v>607</v>
      </c>
      <c r="J2" t="s">
        <v>608</v>
      </c>
      <c r="K2" t="s">
        <v>609</v>
      </c>
      <c r="L2" t="s">
        <v>610</v>
      </c>
      <c r="M2" t="s">
        <v>611</v>
      </c>
      <c r="N2" t="s">
        <v>612</v>
      </c>
      <c r="O2" t="s">
        <v>613</v>
      </c>
      <c r="P2" t="s">
        <v>614</v>
      </c>
      <c r="Q2" t="s">
        <v>615</v>
      </c>
      <c r="R2" t="s">
        <v>616</v>
      </c>
    </row>
    <row r="3" spans="1:18" x14ac:dyDescent="0.35">
      <c r="A3" t="s">
        <v>617</v>
      </c>
      <c r="B3" s="72" t="s">
        <v>618</v>
      </c>
      <c r="C3" s="22">
        <v>0</v>
      </c>
      <c r="D3" s="22">
        <v>0</v>
      </c>
      <c r="E3" s="22">
        <v>0</v>
      </c>
      <c r="F3" s="22">
        <v>0.5</v>
      </c>
      <c r="G3" s="22">
        <v>0</v>
      </c>
      <c r="H3" t="s">
        <v>619</v>
      </c>
      <c r="I3" s="11">
        <f t="shared" ref="I3:I15" si="0">C3/3</f>
        <v>0</v>
      </c>
      <c r="J3" s="11">
        <f t="shared" ref="J3:J15" si="1">I3+C3/3</f>
        <v>0</v>
      </c>
      <c r="K3" s="11">
        <f t="shared" ref="K3:K15" si="2">J3+C3/3</f>
        <v>0</v>
      </c>
      <c r="L3" s="11">
        <f t="shared" ref="L3:L15" si="3">C3</f>
        <v>0</v>
      </c>
      <c r="M3" s="11">
        <f t="shared" ref="M3:M15" si="4">C3</f>
        <v>0</v>
      </c>
      <c r="O3" t="s">
        <v>620</v>
      </c>
      <c r="P3" t="s">
        <v>620</v>
      </c>
      <c r="Q3">
        <v>0</v>
      </c>
      <c r="R3">
        <v>0</v>
      </c>
    </row>
    <row r="4" spans="1:18" x14ac:dyDescent="0.35">
      <c r="A4" t="s">
        <v>621</v>
      </c>
      <c r="B4" s="72" t="s">
        <v>622</v>
      </c>
      <c r="C4" s="22">
        <v>75</v>
      </c>
      <c r="D4" s="22">
        <v>0</v>
      </c>
      <c r="E4" s="22">
        <v>0</v>
      </c>
      <c r="F4" s="22">
        <v>0.5</v>
      </c>
      <c r="G4" s="22">
        <v>0</v>
      </c>
      <c r="H4" t="s">
        <v>623</v>
      </c>
      <c r="I4" s="11">
        <f t="shared" si="0"/>
        <v>25</v>
      </c>
      <c r="J4" s="11">
        <f t="shared" si="1"/>
        <v>50</v>
      </c>
      <c r="K4" s="11">
        <f t="shared" si="2"/>
        <v>75</v>
      </c>
      <c r="L4" s="11">
        <f t="shared" si="3"/>
        <v>75</v>
      </c>
      <c r="M4" s="11">
        <f t="shared" si="4"/>
        <v>75</v>
      </c>
      <c r="O4" t="s">
        <v>620</v>
      </c>
      <c r="P4" t="s">
        <v>620</v>
      </c>
      <c r="Q4">
        <v>0</v>
      </c>
      <c r="R4">
        <v>0</v>
      </c>
    </row>
    <row r="5" spans="1:18" ht="29" customHeight="1" x14ac:dyDescent="0.35">
      <c r="A5" t="s">
        <v>624</v>
      </c>
      <c r="B5" s="72" t="s">
        <v>625</v>
      </c>
      <c r="C5" s="22">
        <v>50</v>
      </c>
      <c r="D5" s="22">
        <v>0</v>
      </c>
      <c r="E5" s="22">
        <v>0</v>
      </c>
      <c r="F5" s="22">
        <v>0.5</v>
      </c>
      <c r="G5" s="22">
        <v>0.05</v>
      </c>
      <c r="H5" t="s">
        <v>626</v>
      </c>
      <c r="I5" s="11">
        <f t="shared" si="0"/>
        <v>16.666666666666668</v>
      </c>
      <c r="J5" s="11">
        <f t="shared" si="1"/>
        <v>33.333333333333336</v>
      </c>
      <c r="K5" s="11">
        <f t="shared" si="2"/>
        <v>50</v>
      </c>
      <c r="L5" s="11">
        <f t="shared" si="3"/>
        <v>50</v>
      </c>
      <c r="M5" s="11">
        <f t="shared" si="4"/>
        <v>50</v>
      </c>
      <c r="O5" t="s">
        <v>620</v>
      </c>
      <c r="P5" t="s">
        <v>620</v>
      </c>
      <c r="Q5">
        <v>0</v>
      </c>
      <c r="R5">
        <v>0</v>
      </c>
    </row>
    <row r="6" spans="1:18" ht="29" customHeight="1" x14ac:dyDescent="0.35">
      <c r="A6" t="s">
        <v>627</v>
      </c>
      <c r="B6" s="72" t="s">
        <v>628</v>
      </c>
      <c r="C6" s="22">
        <v>150</v>
      </c>
      <c r="D6" s="22">
        <v>0</v>
      </c>
      <c r="E6" s="22">
        <v>0</v>
      </c>
      <c r="F6" s="22">
        <v>0.5</v>
      </c>
      <c r="G6" s="22">
        <v>0</v>
      </c>
      <c r="H6" t="s">
        <v>629</v>
      </c>
      <c r="I6" s="11">
        <f t="shared" si="0"/>
        <v>50</v>
      </c>
      <c r="J6" s="11">
        <f t="shared" si="1"/>
        <v>100</v>
      </c>
      <c r="K6" s="11">
        <f t="shared" si="2"/>
        <v>150</v>
      </c>
      <c r="L6" s="11">
        <f t="shared" si="3"/>
        <v>150</v>
      </c>
      <c r="M6" s="11">
        <f t="shared" si="4"/>
        <v>150</v>
      </c>
      <c r="O6" t="s">
        <v>630</v>
      </c>
      <c r="P6" t="s">
        <v>631</v>
      </c>
      <c r="Q6">
        <v>0</v>
      </c>
      <c r="R6">
        <v>0</v>
      </c>
    </row>
    <row r="7" spans="1:18" x14ac:dyDescent="0.35">
      <c r="A7" t="s">
        <v>632</v>
      </c>
      <c r="B7" s="72" t="s">
        <v>633</v>
      </c>
      <c r="C7" s="22">
        <v>0</v>
      </c>
      <c r="D7" s="22">
        <v>0</v>
      </c>
      <c r="E7" s="22">
        <v>0</v>
      </c>
      <c r="F7" s="22">
        <v>0.5</v>
      </c>
      <c r="G7" s="22">
        <v>0</v>
      </c>
      <c r="H7" t="s">
        <v>634</v>
      </c>
      <c r="I7" s="11">
        <f t="shared" si="0"/>
        <v>0</v>
      </c>
      <c r="J7" s="11">
        <f t="shared" si="1"/>
        <v>0</v>
      </c>
      <c r="K7" s="11">
        <f t="shared" si="2"/>
        <v>0</v>
      </c>
      <c r="L7" s="11">
        <f t="shared" si="3"/>
        <v>0</v>
      </c>
      <c r="M7" s="11">
        <f t="shared" si="4"/>
        <v>0</v>
      </c>
      <c r="O7" t="s">
        <v>620</v>
      </c>
      <c r="P7" t="s">
        <v>620</v>
      </c>
      <c r="Q7">
        <v>0</v>
      </c>
      <c r="R7">
        <v>0</v>
      </c>
    </row>
    <row r="8" spans="1:18" ht="29" customHeight="1" x14ac:dyDescent="0.35">
      <c r="A8" t="s">
        <v>635</v>
      </c>
      <c r="B8" s="72" t="s">
        <v>636</v>
      </c>
      <c r="C8" s="22">
        <v>125</v>
      </c>
      <c r="D8" s="22">
        <v>0</v>
      </c>
      <c r="E8" s="22">
        <v>0</v>
      </c>
      <c r="F8" s="22">
        <v>0.7</v>
      </c>
      <c r="G8" s="22">
        <v>0</v>
      </c>
      <c r="H8" t="s">
        <v>637</v>
      </c>
      <c r="I8" s="11">
        <f t="shared" si="0"/>
        <v>41.666666666666664</v>
      </c>
      <c r="J8" s="11">
        <f t="shared" si="1"/>
        <v>83.333333333333329</v>
      </c>
      <c r="K8" s="11">
        <f t="shared" si="2"/>
        <v>125</v>
      </c>
      <c r="L8" s="11">
        <f t="shared" si="3"/>
        <v>125</v>
      </c>
      <c r="M8" s="11">
        <f t="shared" si="4"/>
        <v>125</v>
      </c>
      <c r="O8" t="s">
        <v>631</v>
      </c>
      <c r="P8" t="s">
        <v>620</v>
      </c>
      <c r="Q8">
        <v>0</v>
      </c>
      <c r="R8">
        <v>0</v>
      </c>
    </row>
    <row r="9" spans="1:18" ht="29" customHeight="1" x14ac:dyDescent="0.35">
      <c r="A9" t="s">
        <v>638</v>
      </c>
      <c r="B9" s="72" t="s">
        <v>639</v>
      </c>
      <c r="C9" s="22">
        <v>0</v>
      </c>
      <c r="D9" s="22">
        <v>1</v>
      </c>
      <c r="E9" s="22">
        <v>1</v>
      </c>
      <c r="F9" s="22">
        <v>0.5</v>
      </c>
      <c r="G9" s="22">
        <v>0</v>
      </c>
      <c r="H9" t="s">
        <v>640</v>
      </c>
      <c r="I9" s="11">
        <f t="shared" si="0"/>
        <v>0</v>
      </c>
      <c r="J9" s="11">
        <f t="shared" si="1"/>
        <v>0</v>
      </c>
      <c r="K9" s="11">
        <f t="shared" si="2"/>
        <v>0</v>
      </c>
      <c r="L9" s="11">
        <f t="shared" si="3"/>
        <v>0</v>
      </c>
      <c r="M9" s="11">
        <f t="shared" si="4"/>
        <v>0</v>
      </c>
      <c r="N9" t="s">
        <v>641</v>
      </c>
      <c r="O9" t="s">
        <v>620</v>
      </c>
      <c r="P9" t="s">
        <v>620</v>
      </c>
      <c r="Q9">
        <v>0</v>
      </c>
      <c r="R9">
        <v>0</v>
      </c>
    </row>
    <row r="10" spans="1:18" ht="43.5" customHeight="1" x14ac:dyDescent="0.35">
      <c r="A10" t="s">
        <v>181</v>
      </c>
      <c r="B10" s="72" t="s">
        <v>642</v>
      </c>
      <c r="C10" s="22">
        <v>0</v>
      </c>
      <c r="D10" s="22">
        <v>1</v>
      </c>
      <c r="E10" s="22">
        <v>1</v>
      </c>
      <c r="F10" s="22">
        <v>0.5</v>
      </c>
      <c r="G10" s="22">
        <v>0</v>
      </c>
      <c r="H10" t="s">
        <v>643</v>
      </c>
      <c r="I10" s="11">
        <f t="shared" si="0"/>
        <v>0</v>
      </c>
      <c r="J10" s="11">
        <f t="shared" si="1"/>
        <v>0</v>
      </c>
      <c r="K10" s="11">
        <f t="shared" si="2"/>
        <v>0</v>
      </c>
      <c r="L10" s="11">
        <f t="shared" si="3"/>
        <v>0</v>
      </c>
      <c r="M10" s="11">
        <f t="shared" si="4"/>
        <v>0</v>
      </c>
      <c r="N10" t="s">
        <v>644</v>
      </c>
      <c r="O10" t="s">
        <v>620</v>
      </c>
      <c r="P10" t="s">
        <v>620</v>
      </c>
      <c r="Q10">
        <v>0</v>
      </c>
      <c r="R10">
        <v>0</v>
      </c>
    </row>
    <row r="11" spans="1:18" x14ac:dyDescent="0.35">
      <c r="A11" t="s">
        <v>645</v>
      </c>
      <c r="B11" s="72" t="s">
        <v>646</v>
      </c>
      <c r="C11" s="22">
        <v>50</v>
      </c>
      <c r="D11" s="22">
        <v>1</v>
      </c>
      <c r="E11" s="22">
        <v>0</v>
      </c>
      <c r="F11" s="22">
        <v>0</v>
      </c>
      <c r="G11" s="22">
        <v>0</v>
      </c>
      <c r="H11" t="s">
        <v>647</v>
      </c>
      <c r="I11" s="11">
        <f t="shared" si="0"/>
        <v>16.666666666666668</v>
      </c>
      <c r="J11" s="11">
        <f t="shared" si="1"/>
        <v>33.333333333333336</v>
      </c>
      <c r="K11" s="11">
        <f t="shared" si="2"/>
        <v>50</v>
      </c>
      <c r="L11" s="11">
        <f t="shared" si="3"/>
        <v>50</v>
      </c>
      <c r="M11" s="11">
        <f t="shared" si="4"/>
        <v>50</v>
      </c>
      <c r="N11" t="s">
        <v>644</v>
      </c>
      <c r="O11" t="s">
        <v>620</v>
      </c>
      <c r="P11" t="s">
        <v>631</v>
      </c>
      <c r="Q11">
        <v>0</v>
      </c>
      <c r="R11">
        <v>0</v>
      </c>
    </row>
    <row r="12" spans="1:18" x14ac:dyDescent="0.35">
      <c r="A12" t="s">
        <v>648</v>
      </c>
      <c r="B12" s="72" t="s">
        <v>649</v>
      </c>
      <c r="C12" s="22">
        <v>50</v>
      </c>
      <c r="D12" s="22">
        <v>1</v>
      </c>
      <c r="E12" s="22">
        <v>0</v>
      </c>
      <c r="F12" s="22">
        <v>0</v>
      </c>
      <c r="G12" s="22">
        <v>0</v>
      </c>
      <c r="H12" t="s">
        <v>650</v>
      </c>
      <c r="I12" s="11">
        <f t="shared" si="0"/>
        <v>16.666666666666668</v>
      </c>
      <c r="J12" s="11">
        <f t="shared" si="1"/>
        <v>33.333333333333336</v>
      </c>
      <c r="K12" s="11">
        <f t="shared" si="2"/>
        <v>50</v>
      </c>
      <c r="L12" s="11">
        <f t="shared" si="3"/>
        <v>50</v>
      </c>
      <c r="M12" s="11">
        <f t="shared" si="4"/>
        <v>50</v>
      </c>
      <c r="N12" t="s">
        <v>641</v>
      </c>
      <c r="O12" t="s">
        <v>620</v>
      </c>
      <c r="P12" t="s">
        <v>631</v>
      </c>
      <c r="Q12">
        <v>0</v>
      </c>
      <c r="R12">
        <v>0</v>
      </c>
    </row>
    <row r="13" spans="1:18" x14ac:dyDescent="0.35">
      <c r="A13" t="s">
        <v>651</v>
      </c>
      <c r="B13" s="72" t="s">
        <v>652</v>
      </c>
      <c r="C13" s="22">
        <v>50</v>
      </c>
      <c r="D13" s="22">
        <v>0</v>
      </c>
      <c r="E13" s="22">
        <v>1</v>
      </c>
      <c r="F13" s="22">
        <v>1</v>
      </c>
      <c r="G13" s="22">
        <v>0</v>
      </c>
      <c r="H13" t="s">
        <v>653</v>
      </c>
      <c r="I13" s="11">
        <f t="shared" si="0"/>
        <v>16.666666666666668</v>
      </c>
      <c r="J13" s="11">
        <f t="shared" si="1"/>
        <v>33.333333333333336</v>
      </c>
      <c r="K13" s="11">
        <f t="shared" si="2"/>
        <v>50</v>
      </c>
      <c r="L13" s="11">
        <f t="shared" si="3"/>
        <v>50</v>
      </c>
      <c r="M13" s="11">
        <f t="shared" si="4"/>
        <v>50</v>
      </c>
      <c r="N13" t="s">
        <v>644</v>
      </c>
      <c r="O13" t="s">
        <v>631</v>
      </c>
      <c r="P13" t="s">
        <v>620</v>
      </c>
      <c r="Q13">
        <v>0</v>
      </c>
      <c r="R13">
        <v>0</v>
      </c>
    </row>
    <row r="14" spans="1:18" x14ac:dyDescent="0.35">
      <c r="A14" t="s">
        <v>654</v>
      </c>
      <c r="B14" s="72" t="s">
        <v>655</v>
      </c>
      <c r="C14" s="22">
        <v>50</v>
      </c>
      <c r="D14" s="22">
        <v>0</v>
      </c>
      <c r="E14" s="22">
        <v>1</v>
      </c>
      <c r="F14" s="22">
        <v>1</v>
      </c>
      <c r="G14" s="22">
        <v>0</v>
      </c>
      <c r="H14" t="s">
        <v>656</v>
      </c>
      <c r="I14" s="11">
        <f t="shared" si="0"/>
        <v>16.666666666666668</v>
      </c>
      <c r="J14" s="11">
        <f t="shared" si="1"/>
        <v>33.333333333333336</v>
      </c>
      <c r="K14" s="11">
        <f t="shared" si="2"/>
        <v>50</v>
      </c>
      <c r="L14" s="11">
        <f t="shared" si="3"/>
        <v>50</v>
      </c>
      <c r="M14" s="11">
        <f t="shared" si="4"/>
        <v>50</v>
      </c>
      <c r="N14" t="s">
        <v>641</v>
      </c>
      <c r="O14" t="s">
        <v>631</v>
      </c>
      <c r="P14" t="s">
        <v>620</v>
      </c>
      <c r="Q14">
        <v>0</v>
      </c>
      <c r="R14">
        <v>0</v>
      </c>
    </row>
    <row r="15" spans="1:18" ht="29" customHeight="1" x14ac:dyDescent="0.35">
      <c r="A15" t="s">
        <v>657</v>
      </c>
      <c r="B15" s="72" t="s">
        <v>658</v>
      </c>
      <c r="C15" s="22">
        <v>0</v>
      </c>
      <c r="D15" s="22">
        <v>0</v>
      </c>
      <c r="E15" s="22">
        <v>0</v>
      </c>
      <c r="F15" s="22">
        <v>0</v>
      </c>
      <c r="G15" s="22">
        <v>0</v>
      </c>
      <c r="H15" t="s">
        <v>659</v>
      </c>
      <c r="I15" s="11">
        <f t="shared" si="0"/>
        <v>0</v>
      </c>
      <c r="J15" s="11">
        <f t="shared" si="1"/>
        <v>0</v>
      </c>
      <c r="K15" s="11">
        <f t="shared" si="2"/>
        <v>0</v>
      </c>
      <c r="L15" s="11">
        <f t="shared" si="3"/>
        <v>0</v>
      </c>
      <c r="M15" s="11">
        <f t="shared" si="4"/>
        <v>0</v>
      </c>
      <c r="O15" t="s">
        <v>620</v>
      </c>
      <c r="P15" t="s">
        <v>620</v>
      </c>
      <c r="Q15">
        <v>1</v>
      </c>
      <c r="R15">
        <v>1</v>
      </c>
    </row>
    <row r="17" spans="1:16" x14ac:dyDescent="0.35">
      <c r="B17" s="72"/>
    </row>
    <row r="27" spans="1:16" x14ac:dyDescent="0.35">
      <c r="A27" s="1" t="s">
        <v>600</v>
      </c>
      <c r="B27" s="1" t="s">
        <v>184</v>
      </c>
      <c r="C27" s="1" t="s">
        <v>660</v>
      </c>
      <c r="D27" s="1" t="s">
        <v>661</v>
      </c>
      <c r="E27" s="1" t="s">
        <v>662</v>
      </c>
      <c r="F27" s="1" t="s">
        <v>663</v>
      </c>
      <c r="G27" s="1" t="s">
        <v>664</v>
      </c>
      <c r="H27" s="1" t="s">
        <v>665</v>
      </c>
      <c r="I27" s="1" t="s">
        <v>666</v>
      </c>
      <c r="O27" t="s">
        <v>620</v>
      </c>
      <c r="P27" t="s">
        <v>620</v>
      </c>
    </row>
    <row r="28" spans="1:16" x14ac:dyDescent="0.35">
      <c r="A28" t="str">
        <f>A3</f>
        <v>F1_CUSTOM1</v>
      </c>
      <c r="B28" t="s">
        <v>187</v>
      </c>
      <c r="C28">
        <f>IF(D3=1,0, BaselineCalc!$B$7 + ROUND(I3*F3,0))</f>
        <v>257</v>
      </c>
      <c r="D28">
        <f>IF(E3=1,0, BaselineCalc!$B$8 + I3 - ROUND(I3*F3,0))</f>
        <v>296</v>
      </c>
      <c r="E28">
        <f t="shared" ref="E28:E59" si="5">C28+D28</f>
        <v>553</v>
      </c>
      <c r="F28" s="2">
        <f>YearMap!B2</f>
        <v>8403.3633363471963</v>
      </c>
      <c r="G28" s="2">
        <f>YearMap!C2</f>
        <v>922499.99999999988</v>
      </c>
      <c r="H28" s="2">
        <f>YearMap!D2</f>
        <v>999374.99999999988</v>
      </c>
      <c r="I28" t="str">
        <f t="shared" ref="I28:I59" si="6">A28&amp;"|"&amp;B28</f>
        <v>F1_CUSTOM1|FY2026</v>
      </c>
      <c r="O28" t="s">
        <v>620</v>
      </c>
      <c r="P28" t="s">
        <v>620</v>
      </c>
    </row>
    <row r="29" spans="1:16" x14ac:dyDescent="0.35">
      <c r="A29" t="str">
        <f>A3</f>
        <v>F1_CUSTOM1</v>
      </c>
      <c r="B29" t="s">
        <v>188</v>
      </c>
      <c r="C29">
        <f>IF(D3=1,0, BaselineCalc!$B$7 + ROUND(J3*F3,0))</f>
        <v>257</v>
      </c>
      <c r="D29">
        <f>IF(E3=1,0, BaselineCalc!$B$8 + J3 - ROUND(J3*F3,0))</f>
        <v>296</v>
      </c>
      <c r="E29">
        <f t="shared" si="5"/>
        <v>553</v>
      </c>
      <c r="F29" s="2">
        <f>YearMap!B3</f>
        <v>8613.4474197558757</v>
      </c>
      <c r="G29" s="2">
        <f>YearMap!C3</f>
        <v>915497.14624773955</v>
      </c>
      <c r="H29" s="2">
        <f>YearMap!D3</f>
        <v>1054424.7287522603</v>
      </c>
      <c r="I29" t="str">
        <f t="shared" si="6"/>
        <v>F1_CUSTOM1|FY2027</v>
      </c>
      <c r="O29" t="s">
        <v>620</v>
      </c>
      <c r="P29" t="s">
        <v>620</v>
      </c>
    </row>
    <row r="30" spans="1:16" x14ac:dyDescent="0.35">
      <c r="A30" t="str">
        <f>A3</f>
        <v>F1_CUSTOM1</v>
      </c>
      <c r="B30" t="s">
        <v>189</v>
      </c>
      <c r="C30">
        <f>IF(D3=1,0, BaselineCalc!$B$7 + ROUND(K3*F3,0))</f>
        <v>257</v>
      </c>
      <c r="D30">
        <f>IF(E3=1,0, BaselineCalc!$B$8 + K3 - ROUND(K3*F3,0))</f>
        <v>296</v>
      </c>
      <c r="E30">
        <f t="shared" si="5"/>
        <v>553</v>
      </c>
      <c r="F30" s="2">
        <f>YearMap!B4</f>
        <v>8828.7836052497714</v>
      </c>
      <c r="G30" s="2">
        <f>YearMap!C4</f>
        <v>938384.57490393298</v>
      </c>
      <c r="H30" s="2">
        <f>YearMap!D4</f>
        <v>1080785.3469710669</v>
      </c>
      <c r="I30" t="str">
        <f t="shared" si="6"/>
        <v>F1_CUSTOM1|FY2028</v>
      </c>
      <c r="O30" t="s">
        <v>620</v>
      </c>
      <c r="P30" t="s">
        <v>620</v>
      </c>
    </row>
    <row r="31" spans="1:16" x14ac:dyDescent="0.35">
      <c r="A31" t="str">
        <f>A3</f>
        <v>F1_CUSTOM1</v>
      </c>
      <c r="B31" t="s">
        <v>190</v>
      </c>
      <c r="C31">
        <f>IF(D3=1,0, BaselineCalc!$B$7 + ROUND(L3*F3,0))</f>
        <v>257</v>
      </c>
      <c r="D31">
        <f>IF(E3=1,0, BaselineCalc!$B$8 + L3 - ROUND(L3*F3,0))</f>
        <v>296</v>
      </c>
      <c r="E31">
        <f t="shared" si="5"/>
        <v>553</v>
      </c>
      <c r="F31" s="2">
        <f>YearMap!B5</f>
        <v>9049.5031953810158</v>
      </c>
      <c r="G31" s="2">
        <f>YearMap!C5</f>
        <v>961844.18927653122</v>
      </c>
      <c r="H31" s="2">
        <f>YearMap!D5</f>
        <v>1107804.9806453434</v>
      </c>
      <c r="I31" t="str">
        <f t="shared" si="6"/>
        <v>F1_CUSTOM1|FY2029</v>
      </c>
      <c r="O31" t="s">
        <v>620</v>
      </c>
      <c r="P31" t="s">
        <v>620</v>
      </c>
    </row>
    <row r="32" spans="1:16" x14ac:dyDescent="0.35">
      <c r="A32" t="str">
        <f>A3</f>
        <v>F1_CUSTOM1</v>
      </c>
      <c r="B32" t="s">
        <v>102</v>
      </c>
      <c r="C32">
        <f>IF(D3=1,0, BaselineCalc!$B$7 + ROUND(M3*F3,0))</f>
        <v>257</v>
      </c>
      <c r="D32">
        <f>IF(E3=1,0, BaselineCalc!$B$8 + M3 - ROUND(M3*F3,0))</f>
        <v>296</v>
      </c>
      <c r="E32">
        <f t="shared" si="5"/>
        <v>553</v>
      </c>
      <c r="F32" s="2">
        <f>YearMap!B6</f>
        <v>9275.7407752655399</v>
      </c>
      <c r="G32" s="2">
        <f>YearMap!C6</f>
        <v>985890.29400844453</v>
      </c>
      <c r="H32" s="2">
        <f>YearMap!D6</f>
        <v>1135500.1051614769</v>
      </c>
      <c r="I32" t="str">
        <f t="shared" si="6"/>
        <v>F1_CUSTOM1|FY2030</v>
      </c>
      <c r="O32" t="s">
        <v>620</v>
      </c>
      <c r="P32" t="s">
        <v>620</v>
      </c>
    </row>
    <row r="33" spans="1:16" x14ac:dyDescent="0.35">
      <c r="A33" t="str">
        <f>A4</f>
        <v>B3_StatusQuo_Targets</v>
      </c>
      <c r="B33" t="s">
        <v>187</v>
      </c>
      <c r="C33">
        <f>IF(D4=1,0, BaselineCalc!$B$7 + ROUND(I4*F4,0))</f>
        <v>270</v>
      </c>
      <c r="D33">
        <f>IF(E4=1,0, BaselineCalc!$B$8 + I4 - ROUND(I4*F4,0))</f>
        <v>308</v>
      </c>
      <c r="E33">
        <f t="shared" si="5"/>
        <v>578</v>
      </c>
      <c r="F33" s="2">
        <f>YearMap!B2</f>
        <v>8403.3633363471963</v>
      </c>
      <c r="G33" s="2">
        <f>YearMap!C2</f>
        <v>922499.99999999988</v>
      </c>
      <c r="H33" s="2">
        <f>YearMap!D2</f>
        <v>999374.99999999988</v>
      </c>
      <c r="I33" t="str">
        <f t="shared" si="6"/>
        <v>B3_StatusQuo_Targets|FY2026</v>
      </c>
      <c r="O33" t="s">
        <v>620</v>
      </c>
      <c r="P33" t="s">
        <v>620</v>
      </c>
    </row>
    <row r="34" spans="1:16" x14ac:dyDescent="0.35">
      <c r="A34" t="str">
        <f>A4</f>
        <v>B3_StatusQuo_Targets</v>
      </c>
      <c r="B34" t="s">
        <v>188</v>
      </c>
      <c r="C34">
        <f>IF(D4=1,0, BaselineCalc!$B$7 + ROUND(J4*F4,0))</f>
        <v>282</v>
      </c>
      <c r="D34">
        <f>IF(E4=1,0, BaselineCalc!$B$8 + J4 - ROUND(J4*F4,0))</f>
        <v>321</v>
      </c>
      <c r="E34">
        <f t="shared" si="5"/>
        <v>603</v>
      </c>
      <c r="F34" s="2">
        <f>YearMap!B3</f>
        <v>8613.4474197558757</v>
      </c>
      <c r="G34" s="2">
        <f>YearMap!C3</f>
        <v>915497.14624773955</v>
      </c>
      <c r="H34" s="2">
        <f>YearMap!D3</f>
        <v>1054424.7287522603</v>
      </c>
      <c r="I34" t="str">
        <f t="shared" si="6"/>
        <v>B3_StatusQuo_Targets|FY2027</v>
      </c>
      <c r="O34" t="s">
        <v>620</v>
      </c>
      <c r="P34" t="s">
        <v>620</v>
      </c>
    </row>
    <row r="35" spans="1:16" x14ac:dyDescent="0.35">
      <c r="A35" t="str">
        <f>A4</f>
        <v>B3_StatusQuo_Targets</v>
      </c>
      <c r="B35" t="s">
        <v>189</v>
      </c>
      <c r="C35">
        <f>IF(D4=1,0, BaselineCalc!$B$7 + ROUND(K4*F4,0))</f>
        <v>295</v>
      </c>
      <c r="D35">
        <f>IF(E4=1,0, BaselineCalc!$B$8 + K4 - ROUND(K4*F4,0))</f>
        <v>333</v>
      </c>
      <c r="E35">
        <f t="shared" si="5"/>
        <v>628</v>
      </c>
      <c r="F35" s="2">
        <f>YearMap!B4</f>
        <v>8828.7836052497714</v>
      </c>
      <c r="G35" s="2">
        <f>YearMap!C4</f>
        <v>938384.57490393298</v>
      </c>
      <c r="H35" s="2">
        <f>YearMap!D4</f>
        <v>1080785.3469710669</v>
      </c>
      <c r="I35" t="str">
        <f t="shared" si="6"/>
        <v>B3_StatusQuo_Targets|FY2028</v>
      </c>
      <c r="O35" t="s">
        <v>620</v>
      </c>
      <c r="P35" t="s">
        <v>620</v>
      </c>
    </row>
    <row r="36" spans="1:16" x14ac:dyDescent="0.35">
      <c r="A36" t="str">
        <f>A4</f>
        <v>B3_StatusQuo_Targets</v>
      </c>
      <c r="B36" t="s">
        <v>190</v>
      </c>
      <c r="C36">
        <f>IF(D4=1,0, BaselineCalc!$B$7 + ROUND(L4*F4,0))</f>
        <v>295</v>
      </c>
      <c r="D36">
        <f>IF(E4=1,0, BaselineCalc!$B$8 + L4 - ROUND(L4*F4,0))</f>
        <v>333</v>
      </c>
      <c r="E36">
        <f t="shared" si="5"/>
        <v>628</v>
      </c>
      <c r="F36" s="2">
        <f>YearMap!B5</f>
        <v>9049.5031953810158</v>
      </c>
      <c r="G36" s="2">
        <f>YearMap!C5</f>
        <v>961844.18927653122</v>
      </c>
      <c r="H36" s="2">
        <f>YearMap!D5</f>
        <v>1107804.9806453434</v>
      </c>
      <c r="I36" t="str">
        <f t="shared" si="6"/>
        <v>B3_StatusQuo_Targets|FY2029</v>
      </c>
      <c r="O36" t="s">
        <v>620</v>
      </c>
      <c r="P36" t="s">
        <v>620</v>
      </c>
    </row>
    <row r="37" spans="1:16" x14ac:dyDescent="0.35">
      <c r="A37" t="str">
        <f>A4</f>
        <v>B3_StatusQuo_Targets</v>
      </c>
      <c r="B37" t="s">
        <v>102</v>
      </c>
      <c r="C37">
        <f>IF(D4=1,0, BaselineCalc!$B$7 + ROUND(M4*F4,0))</f>
        <v>295</v>
      </c>
      <c r="D37">
        <f>IF(E4=1,0, BaselineCalc!$B$8 + M4 - ROUND(M4*F4,0))</f>
        <v>333</v>
      </c>
      <c r="E37">
        <f t="shared" si="5"/>
        <v>628</v>
      </c>
      <c r="F37" s="2">
        <f>YearMap!B6</f>
        <v>9275.7407752655399</v>
      </c>
      <c r="G37" s="2">
        <f>YearMap!C6</f>
        <v>985890.29400844453</v>
      </c>
      <c r="H37" s="2">
        <f>YearMap!D6</f>
        <v>1135500.1051614769</v>
      </c>
      <c r="I37" t="str">
        <f t="shared" si="6"/>
        <v>B3_StatusQuo_Targets|FY2030</v>
      </c>
      <c r="O37" t="s">
        <v>620</v>
      </c>
      <c r="P37" t="s">
        <v>620</v>
      </c>
    </row>
    <row r="38" spans="1:16" x14ac:dyDescent="0.35">
      <c r="A38" t="str">
        <f>A5</f>
        <v>C2_CoLocation_Echo_Targets</v>
      </c>
      <c r="B38" t="s">
        <v>187</v>
      </c>
      <c r="C38">
        <f>IF(D5=1,0, BaselineCalc!$B$7 + ROUND(I5*F5,0))</f>
        <v>265</v>
      </c>
      <c r="D38">
        <f>IF(E5=1,0, BaselineCalc!$B$8 + I5 - ROUND(I5*F5,0))</f>
        <v>304.66666666666669</v>
      </c>
      <c r="E38">
        <f t="shared" si="5"/>
        <v>569.66666666666674</v>
      </c>
      <c r="F38" s="2">
        <f>YearMap!B2</f>
        <v>8403.3633363471963</v>
      </c>
      <c r="G38" s="2">
        <f>YearMap!C2</f>
        <v>922499.99999999988</v>
      </c>
      <c r="H38" s="2">
        <f>YearMap!D2</f>
        <v>999374.99999999988</v>
      </c>
      <c r="I38" t="str">
        <f t="shared" si="6"/>
        <v>C2_CoLocation_Echo_Targets|FY2026</v>
      </c>
      <c r="O38" t="s">
        <v>620</v>
      </c>
      <c r="P38" t="s">
        <v>620</v>
      </c>
    </row>
    <row r="39" spans="1:16" x14ac:dyDescent="0.35">
      <c r="A39" t="str">
        <f>A5</f>
        <v>C2_CoLocation_Echo_Targets</v>
      </c>
      <c r="B39" t="s">
        <v>188</v>
      </c>
      <c r="C39">
        <f>IF(D5=1,0, BaselineCalc!$B$7 + ROUND(J5*F5,0))</f>
        <v>274</v>
      </c>
      <c r="D39">
        <f>IF(E5=1,0, BaselineCalc!$B$8 + J5 - ROUND(J5*F5,0))</f>
        <v>312.33333333333331</v>
      </c>
      <c r="E39">
        <f t="shared" si="5"/>
        <v>586.33333333333326</v>
      </c>
      <c r="F39" s="2">
        <f>YearMap!B3</f>
        <v>8613.4474197558757</v>
      </c>
      <c r="G39" s="2">
        <f>YearMap!C3</f>
        <v>915497.14624773955</v>
      </c>
      <c r="H39" s="2">
        <f>YearMap!D3</f>
        <v>1054424.7287522603</v>
      </c>
      <c r="I39" t="str">
        <f t="shared" si="6"/>
        <v>C2_CoLocation_Echo_Targets|FY2027</v>
      </c>
      <c r="O39" t="s">
        <v>620</v>
      </c>
      <c r="P39" t="s">
        <v>620</v>
      </c>
    </row>
    <row r="40" spans="1:16" x14ac:dyDescent="0.35">
      <c r="A40" t="str">
        <f>A5</f>
        <v>C2_CoLocation_Echo_Targets</v>
      </c>
      <c r="B40" t="s">
        <v>189</v>
      </c>
      <c r="C40">
        <f>IF(D5=1,0, BaselineCalc!$B$7 + ROUND(K5*F5,0))</f>
        <v>282</v>
      </c>
      <c r="D40">
        <f>IF(E5=1,0, BaselineCalc!$B$8 + K5 - ROUND(K5*F5,0))</f>
        <v>321</v>
      </c>
      <c r="E40">
        <f t="shared" si="5"/>
        <v>603</v>
      </c>
      <c r="F40" s="2">
        <f>YearMap!B4</f>
        <v>8828.7836052497714</v>
      </c>
      <c r="G40" s="2">
        <f>YearMap!C4</f>
        <v>938384.57490393298</v>
      </c>
      <c r="H40" s="2">
        <f>YearMap!D4</f>
        <v>1080785.3469710669</v>
      </c>
      <c r="I40" t="str">
        <f t="shared" si="6"/>
        <v>C2_CoLocation_Echo_Targets|FY2028</v>
      </c>
      <c r="O40" t="s">
        <v>620</v>
      </c>
      <c r="P40" t="s">
        <v>620</v>
      </c>
    </row>
    <row r="41" spans="1:16" x14ac:dyDescent="0.35">
      <c r="A41" t="str">
        <f>A5</f>
        <v>C2_CoLocation_Echo_Targets</v>
      </c>
      <c r="B41" t="s">
        <v>190</v>
      </c>
      <c r="C41">
        <f>IF(D5=1,0, BaselineCalc!$B$7 + ROUND(L5*F5,0))</f>
        <v>282</v>
      </c>
      <c r="D41">
        <f>IF(E5=1,0, BaselineCalc!$B$8 + L5 - ROUND(L5*F5,0))</f>
        <v>321</v>
      </c>
      <c r="E41">
        <f t="shared" si="5"/>
        <v>603</v>
      </c>
      <c r="F41" s="2">
        <f>YearMap!B5</f>
        <v>9049.5031953810158</v>
      </c>
      <c r="G41" s="2">
        <f>YearMap!C5</f>
        <v>961844.18927653122</v>
      </c>
      <c r="H41" s="2">
        <f>YearMap!D5</f>
        <v>1107804.9806453434</v>
      </c>
      <c r="I41" t="str">
        <f t="shared" si="6"/>
        <v>C2_CoLocation_Echo_Targets|FY2029</v>
      </c>
      <c r="O41" t="s">
        <v>620</v>
      </c>
      <c r="P41" t="s">
        <v>620</v>
      </c>
    </row>
    <row r="42" spans="1:16" x14ac:dyDescent="0.35">
      <c r="A42" t="str">
        <f>A5</f>
        <v>C2_CoLocation_Echo_Targets</v>
      </c>
      <c r="B42" t="s">
        <v>102</v>
      </c>
      <c r="C42">
        <f>IF(D5=1,0, BaselineCalc!$B$7 + ROUND(M5*F5,0))</f>
        <v>282</v>
      </c>
      <c r="D42">
        <f>IF(E5=1,0, BaselineCalc!$B$8 + M5 - ROUND(M5*F5,0))</f>
        <v>321</v>
      </c>
      <c r="E42">
        <f t="shared" si="5"/>
        <v>603</v>
      </c>
      <c r="F42" s="2">
        <f>YearMap!B6</f>
        <v>9275.7407752655399</v>
      </c>
      <c r="G42" s="2">
        <f>YearMap!C6</f>
        <v>985890.29400844453</v>
      </c>
      <c r="H42" s="2">
        <f>YearMap!D6</f>
        <v>1135500.1051614769</v>
      </c>
      <c r="I42" t="str">
        <f t="shared" si="6"/>
        <v>C2_CoLocation_Echo_Targets|FY2030</v>
      </c>
      <c r="O42" t="s">
        <v>620</v>
      </c>
      <c r="P42" t="s">
        <v>620</v>
      </c>
    </row>
    <row r="43" spans="1:16" x14ac:dyDescent="0.35">
      <c r="A43" t="str">
        <f>A6</f>
        <v>C1_Grow_Both_Targets</v>
      </c>
      <c r="B43" t="s">
        <v>187</v>
      </c>
      <c r="C43">
        <f>IF(D6=1,0, BaselineCalc!$B$7 + ROUND(I6*F6,0))</f>
        <v>282</v>
      </c>
      <c r="D43">
        <f>IF(E6=1,0, BaselineCalc!$B$8 + I6 - ROUND(I6*F6,0))</f>
        <v>321</v>
      </c>
      <c r="E43">
        <f t="shared" si="5"/>
        <v>603</v>
      </c>
      <c r="F43" s="2">
        <f>YearMap!B2</f>
        <v>8403.3633363471963</v>
      </c>
      <c r="G43" s="2">
        <f>YearMap!C2</f>
        <v>922499.99999999988</v>
      </c>
      <c r="H43" s="2">
        <f>YearMap!D2</f>
        <v>999374.99999999988</v>
      </c>
      <c r="I43" t="str">
        <f t="shared" si="6"/>
        <v>C1_Grow_Both_Targets|FY2026</v>
      </c>
      <c r="O43" t="s">
        <v>620</v>
      </c>
      <c r="P43" t="s">
        <v>620</v>
      </c>
    </row>
    <row r="44" spans="1:16" x14ac:dyDescent="0.35">
      <c r="A44" t="str">
        <f>A6</f>
        <v>C1_Grow_Both_Targets</v>
      </c>
      <c r="B44" t="s">
        <v>188</v>
      </c>
      <c r="C44">
        <f>IF(D6=1,0, BaselineCalc!$B$7 + ROUND(J6*F6,0))</f>
        <v>307</v>
      </c>
      <c r="D44">
        <f>IF(E6=1,0, BaselineCalc!$B$8 + J6 - ROUND(J6*F6,0))</f>
        <v>346</v>
      </c>
      <c r="E44">
        <f t="shared" si="5"/>
        <v>653</v>
      </c>
      <c r="F44" s="2">
        <f>YearMap!B3</f>
        <v>8613.4474197558757</v>
      </c>
      <c r="G44" s="2">
        <f>YearMap!C3</f>
        <v>915497.14624773955</v>
      </c>
      <c r="H44" s="2">
        <f>YearMap!D3</f>
        <v>1054424.7287522603</v>
      </c>
      <c r="I44" t="str">
        <f t="shared" si="6"/>
        <v>C1_Grow_Both_Targets|FY2027</v>
      </c>
      <c r="O44" t="s">
        <v>620</v>
      </c>
      <c r="P44" t="s">
        <v>620</v>
      </c>
    </row>
    <row r="45" spans="1:16" x14ac:dyDescent="0.35">
      <c r="A45" t="str">
        <f>A6</f>
        <v>C1_Grow_Both_Targets</v>
      </c>
      <c r="B45" t="s">
        <v>189</v>
      </c>
      <c r="C45">
        <f>IF(D6=1,0, BaselineCalc!$B$7 + ROUND(K6*F6,0))</f>
        <v>332</v>
      </c>
      <c r="D45">
        <f>IF(E6=1,0, BaselineCalc!$B$8 + K6 - ROUND(K6*F6,0))</f>
        <v>371</v>
      </c>
      <c r="E45">
        <f t="shared" si="5"/>
        <v>703</v>
      </c>
      <c r="F45" s="2">
        <f>YearMap!B4</f>
        <v>8828.7836052497714</v>
      </c>
      <c r="G45" s="2">
        <f>YearMap!C4</f>
        <v>938384.57490393298</v>
      </c>
      <c r="H45" s="2">
        <f>YearMap!D4</f>
        <v>1080785.3469710669</v>
      </c>
      <c r="I45" t="str">
        <f t="shared" si="6"/>
        <v>C1_Grow_Both_Targets|FY2028</v>
      </c>
      <c r="O45" t="s">
        <v>620</v>
      </c>
      <c r="P45" t="s">
        <v>620</v>
      </c>
    </row>
    <row r="46" spans="1:16" x14ac:dyDescent="0.35">
      <c r="A46" t="str">
        <f>A6</f>
        <v>C1_Grow_Both_Targets</v>
      </c>
      <c r="B46" t="s">
        <v>190</v>
      </c>
      <c r="C46">
        <f>IF(D6=1,0, BaselineCalc!$B$7 + ROUND(L6*F6,0))</f>
        <v>332</v>
      </c>
      <c r="D46">
        <f>IF(E6=1,0, BaselineCalc!$B$8 + L6 - ROUND(L6*F6,0))</f>
        <v>371</v>
      </c>
      <c r="E46">
        <f t="shared" si="5"/>
        <v>703</v>
      </c>
      <c r="F46" s="2">
        <f>YearMap!B5</f>
        <v>9049.5031953810158</v>
      </c>
      <c r="G46" s="2">
        <f>YearMap!C5</f>
        <v>961844.18927653122</v>
      </c>
      <c r="H46" s="2">
        <f>YearMap!D5</f>
        <v>1107804.9806453434</v>
      </c>
      <c r="I46" t="str">
        <f t="shared" si="6"/>
        <v>C1_Grow_Both_Targets|FY2029</v>
      </c>
      <c r="O46" t="s">
        <v>620</v>
      </c>
      <c r="P46" t="s">
        <v>620</v>
      </c>
    </row>
    <row r="47" spans="1:16" x14ac:dyDescent="0.35">
      <c r="A47" t="str">
        <f>A6</f>
        <v>C1_Grow_Both_Targets</v>
      </c>
      <c r="B47" t="s">
        <v>102</v>
      </c>
      <c r="C47">
        <f>IF(D6=1,0, BaselineCalc!$B$7 + ROUND(M6*F6,0))</f>
        <v>332</v>
      </c>
      <c r="D47">
        <f>IF(E6=1,0, BaselineCalc!$B$8 + M6 - ROUND(M6*F6,0))</f>
        <v>371</v>
      </c>
      <c r="E47">
        <f t="shared" si="5"/>
        <v>703</v>
      </c>
      <c r="F47" s="2">
        <f>YearMap!B6</f>
        <v>9275.7407752655399</v>
      </c>
      <c r="G47" s="2">
        <f>YearMap!C6</f>
        <v>985890.29400844453</v>
      </c>
      <c r="H47" s="2">
        <f>YearMap!D6</f>
        <v>1135500.1051614769</v>
      </c>
      <c r="I47" t="str">
        <f t="shared" si="6"/>
        <v>C1_Grow_Both_Targets|FY2030</v>
      </c>
      <c r="O47" t="s">
        <v>620</v>
      </c>
      <c r="P47" t="s">
        <v>620</v>
      </c>
    </row>
    <row r="48" spans="1:16" x14ac:dyDescent="0.35">
      <c r="A48" t="str">
        <f>A7</f>
        <v>B2_StatusQuo_Steady</v>
      </c>
      <c r="B48" t="s">
        <v>187</v>
      </c>
      <c r="C48">
        <f>IF(D7=1,0, BaselineCalc!$B$7 + ROUND(I7*F7,0))</f>
        <v>257</v>
      </c>
      <c r="D48">
        <f>IF(E7=1,0, BaselineCalc!$B$8 + I7 - ROUND(I7*F7,0))</f>
        <v>296</v>
      </c>
      <c r="E48">
        <f t="shared" si="5"/>
        <v>553</v>
      </c>
      <c r="F48" s="2">
        <f>YearMap!B2</f>
        <v>8403.3633363471963</v>
      </c>
      <c r="G48" s="2">
        <f>YearMap!C2</f>
        <v>922499.99999999988</v>
      </c>
      <c r="H48" s="2">
        <f>YearMap!D2</f>
        <v>999374.99999999988</v>
      </c>
      <c r="I48" t="str">
        <f t="shared" si="6"/>
        <v>B2_StatusQuo_Steady|FY2026</v>
      </c>
      <c r="O48" t="s">
        <v>620</v>
      </c>
      <c r="P48" t="s">
        <v>620</v>
      </c>
    </row>
    <row r="49" spans="1:16" x14ac:dyDescent="0.35">
      <c r="A49" t="str">
        <f>A7</f>
        <v>B2_StatusQuo_Steady</v>
      </c>
      <c r="B49" t="s">
        <v>188</v>
      </c>
      <c r="C49">
        <f>IF(D7=1,0, BaselineCalc!$B$7 + ROUND(J7*F7,0))</f>
        <v>257</v>
      </c>
      <c r="D49">
        <f>IF(E7=1,0, BaselineCalc!$B$8 + J7 - ROUND(J7*F7,0))</f>
        <v>296</v>
      </c>
      <c r="E49">
        <f t="shared" si="5"/>
        <v>553</v>
      </c>
      <c r="F49" s="2">
        <f>YearMap!B3</f>
        <v>8613.4474197558757</v>
      </c>
      <c r="G49" s="2">
        <f>YearMap!C3</f>
        <v>915497.14624773955</v>
      </c>
      <c r="H49" s="2">
        <f>YearMap!D3</f>
        <v>1054424.7287522603</v>
      </c>
      <c r="I49" t="str">
        <f t="shared" si="6"/>
        <v>B2_StatusQuo_Steady|FY2027</v>
      </c>
      <c r="O49" t="s">
        <v>620</v>
      </c>
      <c r="P49" t="s">
        <v>620</v>
      </c>
    </row>
    <row r="50" spans="1:16" x14ac:dyDescent="0.35">
      <c r="A50" t="str">
        <f>A7</f>
        <v>B2_StatusQuo_Steady</v>
      </c>
      <c r="B50" t="s">
        <v>189</v>
      </c>
      <c r="C50">
        <f>IF(D7=1,0, BaselineCalc!$B$7 + ROUND(K7*F7,0))</f>
        <v>257</v>
      </c>
      <c r="D50">
        <f>IF(E7=1,0, BaselineCalc!$B$8 + K7 - ROUND(K7*F7,0))</f>
        <v>296</v>
      </c>
      <c r="E50">
        <f t="shared" si="5"/>
        <v>553</v>
      </c>
      <c r="F50" s="2">
        <f>YearMap!B4</f>
        <v>8828.7836052497714</v>
      </c>
      <c r="G50" s="2">
        <f>YearMap!C4</f>
        <v>938384.57490393298</v>
      </c>
      <c r="H50" s="2">
        <f>YearMap!D4</f>
        <v>1080785.3469710669</v>
      </c>
      <c r="I50" t="str">
        <f t="shared" si="6"/>
        <v>B2_StatusQuo_Steady|FY2028</v>
      </c>
      <c r="O50" t="s">
        <v>620</v>
      </c>
      <c r="P50" t="s">
        <v>620</v>
      </c>
    </row>
    <row r="51" spans="1:16" x14ac:dyDescent="0.35">
      <c r="A51" t="str">
        <f>A7</f>
        <v>B2_StatusQuo_Steady</v>
      </c>
      <c r="B51" t="s">
        <v>190</v>
      </c>
      <c r="C51">
        <f>IF(D7=1,0, BaselineCalc!$B$7 + ROUND(L7*F7,0))</f>
        <v>257</v>
      </c>
      <c r="D51">
        <f>IF(E7=1,0, BaselineCalc!$B$8 + L7 - ROUND(L7*F7,0))</f>
        <v>296</v>
      </c>
      <c r="E51">
        <f t="shared" si="5"/>
        <v>553</v>
      </c>
      <c r="F51" s="2">
        <f>YearMap!B5</f>
        <v>9049.5031953810158</v>
      </c>
      <c r="G51" s="2">
        <f>YearMap!C5</f>
        <v>961844.18927653122</v>
      </c>
      <c r="H51" s="2">
        <f>YearMap!D5</f>
        <v>1107804.9806453434</v>
      </c>
      <c r="I51" t="str">
        <f t="shared" si="6"/>
        <v>B2_StatusQuo_Steady|FY2029</v>
      </c>
      <c r="O51" t="s">
        <v>620</v>
      </c>
      <c r="P51" t="s">
        <v>620</v>
      </c>
    </row>
    <row r="52" spans="1:16" x14ac:dyDescent="0.35">
      <c r="A52" t="str">
        <f>A7</f>
        <v>B2_StatusQuo_Steady</v>
      </c>
      <c r="B52" t="s">
        <v>102</v>
      </c>
      <c r="C52">
        <f>IF(D7=1,0, BaselineCalc!$B$7 + ROUND(M7*F7,0))</f>
        <v>257</v>
      </c>
      <c r="D52">
        <f>IF(E7=1,0, BaselineCalc!$B$8 + M7 - ROUND(M7*F7,0))</f>
        <v>296</v>
      </c>
      <c r="E52">
        <f t="shared" si="5"/>
        <v>553</v>
      </c>
      <c r="F52" s="2">
        <f>YearMap!B6</f>
        <v>9275.7407752655399</v>
      </c>
      <c r="G52" s="2">
        <f>YearMap!C6</f>
        <v>985890.29400844453</v>
      </c>
      <c r="H52" s="2">
        <f>YearMap!D6</f>
        <v>1135500.1051614769</v>
      </c>
      <c r="I52" t="str">
        <f t="shared" si="6"/>
        <v>B2_StatusQuo_Steady|FY2030</v>
      </c>
      <c r="O52" t="s">
        <v>620</v>
      </c>
      <c r="P52" t="s">
        <v>620</v>
      </c>
    </row>
    <row r="53" spans="1:16" x14ac:dyDescent="0.35">
      <c r="A53" t="str">
        <f>A8</f>
        <v>D2_EchoGHubRamp_PimaTargets</v>
      </c>
      <c r="B53" t="s">
        <v>187</v>
      </c>
      <c r="C53">
        <f>IF(D8=1,0, BaselineCalc!$B$7 + ROUND(I8*F8,0))</f>
        <v>286</v>
      </c>
      <c r="D53">
        <f>IF(E8=1,0, BaselineCalc!$B$8 + I8 - ROUND(I8*F8,0))</f>
        <v>308.66666666666669</v>
      </c>
      <c r="E53">
        <f t="shared" si="5"/>
        <v>594.66666666666674</v>
      </c>
      <c r="F53" s="2">
        <f>YearMap!B2</f>
        <v>8403.3633363471963</v>
      </c>
      <c r="G53" s="2">
        <f>YearMap!C2</f>
        <v>922499.99999999988</v>
      </c>
      <c r="H53" s="2">
        <f>YearMap!D2</f>
        <v>999374.99999999988</v>
      </c>
      <c r="I53" t="str">
        <f t="shared" si="6"/>
        <v>D2_EchoGHubRamp_PimaTargets|FY2026</v>
      </c>
      <c r="O53" t="s">
        <v>620</v>
      </c>
      <c r="P53" t="s">
        <v>620</v>
      </c>
    </row>
    <row r="54" spans="1:16" x14ac:dyDescent="0.35">
      <c r="A54" t="str">
        <f>A8</f>
        <v>D2_EchoGHubRamp_PimaTargets</v>
      </c>
      <c r="B54" t="s">
        <v>188</v>
      </c>
      <c r="C54">
        <f>IF(D8=1,0, BaselineCalc!$B$7 + ROUND(J8*F8,0))</f>
        <v>315</v>
      </c>
      <c r="D54">
        <f>IF(E8=1,0, BaselineCalc!$B$8 + J8 - ROUND(J8*F8,0))</f>
        <v>321.33333333333331</v>
      </c>
      <c r="E54">
        <f t="shared" si="5"/>
        <v>636.33333333333326</v>
      </c>
      <c r="F54" s="2">
        <f>YearMap!B3</f>
        <v>8613.4474197558757</v>
      </c>
      <c r="G54" s="2">
        <f>YearMap!C3</f>
        <v>915497.14624773955</v>
      </c>
      <c r="H54" s="2">
        <f>YearMap!D3</f>
        <v>1054424.7287522603</v>
      </c>
      <c r="I54" t="str">
        <f t="shared" si="6"/>
        <v>D2_EchoGHubRamp_PimaTargets|FY2027</v>
      </c>
      <c r="O54" t="s">
        <v>620</v>
      </c>
      <c r="P54" t="s">
        <v>620</v>
      </c>
    </row>
    <row r="55" spans="1:16" x14ac:dyDescent="0.35">
      <c r="A55" t="str">
        <f>A8</f>
        <v>D2_EchoGHubRamp_PimaTargets</v>
      </c>
      <c r="B55" t="s">
        <v>189</v>
      </c>
      <c r="C55">
        <f>IF(D8=1,0, BaselineCalc!$B$7 + ROUND(K8*F8,0))</f>
        <v>345</v>
      </c>
      <c r="D55">
        <f>IF(E8=1,0, BaselineCalc!$B$8 + K8 - ROUND(K8*F8,0))</f>
        <v>333</v>
      </c>
      <c r="E55">
        <f t="shared" si="5"/>
        <v>678</v>
      </c>
      <c r="F55" s="2">
        <f>YearMap!B4</f>
        <v>8828.7836052497714</v>
      </c>
      <c r="G55" s="2">
        <f>YearMap!C4</f>
        <v>938384.57490393298</v>
      </c>
      <c r="H55" s="2">
        <f>YearMap!D4</f>
        <v>1080785.3469710669</v>
      </c>
      <c r="I55" t="str">
        <f t="shared" si="6"/>
        <v>D2_EchoGHubRamp_PimaTargets|FY2028</v>
      </c>
      <c r="O55" t="s">
        <v>620</v>
      </c>
      <c r="P55" t="s">
        <v>620</v>
      </c>
    </row>
    <row r="56" spans="1:16" x14ac:dyDescent="0.35">
      <c r="A56" t="str">
        <f>A8</f>
        <v>D2_EchoGHubRamp_PimaTargets</v>
      </c>
      <c r="B56" t="s">
        <v>190</v>
      </c>
      <c r="C56">
        <f>IF(D8=1,0, BaselineCalc!$B$7 + ROUND(L8*F8,0))</f>
        <v>345</v>
      </c>
      <c r="D56">
        <f>IF(E8=1,0, BaselineCalc!$B$8 + L8 - ROUND(L8*F8,0))</f>
        <v>333</v>
      </c>
      <c r="E56">
        <f t="shared" si="5"/>
        <v>678</v>
      </c>
      <c r="F56" s="2">
        <f>YearMap!B5</f>
        <v>9049.5031953810158</v>
      </c>
      <c r="G56" s="2">
        <f>YearMap!C5</f>
        <v>961844.18927653122</v>
      </c>
      <c r="H56" s="2">
        <f>YearMap!D5</f>
        <v>1107804.9806453434</v>
      </c>
      <c r="I56" t="str">
        <f t="shared" si="6"/>
        <v>D2_EchoGHubRamp_PimaTargets|FY2029</v>
      </c>
      <c r="O56" t="s">
        <v>620</v>
      </c>
      <c r="P56" t="s">
        <v>620</v>
      </c>
    </row>
    <row r="57" spans="1:16" x14ac:dyDescent="0.35">
      <c r="A57" t="str">
        <f>A8</f>
        <v>D2_EchoGHubRamp_PimaTargets</v>
      </c>
      <c r="B57" t="s">
        <v>102</v>
      </c>
      <c r="C57">
        <f>IF(D8=1,0, BaselineCalc!$B$7 + ROUND(M8*F8,0))</f>
        <v>345</v>
      </c>
      <c r="D57">
        <f>IF(E8=1,0, BaselineCalc!$B$8 + M8 - ROUND(M8*F8,0))</f>
        <v>333</v>
      </c>
      <c r="E57">
        <f t="shared" si="5"/>
        <v>678</v>
      </c>
      <c r="F57" s="2">
        <f>YearMap!B6</f>
        <v>9275.7407752655399</v>
      </c>
      <c r="G57" s="2">
        <f>YearMap!C6</f>
        <v>985890.29400844453</v>
      </c>
      <c r="H57" s="2">
        <f>YearMap!D6</f>
        <v>1135500.1051614769</v>
      </c>
      <c r="I57" t="str">
        <f t="shared" si="6"/>
        <v>D2_EchoGHubRamp_PimaTargets|FY2030</v>
      </c>
      <c r="O57" t="s">
        <v>620</v>
      </c>
      <c r="P57" t="s">
        <v>620</v>
      </c>
    </row>
    <row r="58" spans="1:16" x14ac:dyDescent="0.35">
      <c r="A58" t="str">
        <f>A9</f>
        <v>A1_Repurpose_Both_ops</v>
      </c>
      <c r="B58" t="s">
        <v>187</v>
      </c>
      <c r="C58">
        <f>IF(D9=1,0, BaselineCalc!$B$7 + ROUND(I9*F9,0))</f>
        <v>0</v>
      </c>
      <c r="D58">
        <f>IF(E9=1,0, BaselineCalc!$B$8 + I9 - ROUND(I9*F9,0))</f>
        <v>0</v>
      </c>
      <c r="E58">
        <f t="shared" si="5"/>
        <v>0</v>
      </c>
      <c r="F58" s="2">
        <f>YearMap!B2</f>
        <v>8403.3633363471963</v>
      </c>
      <c r="G58" s="2">
        <f>YearMap!C2</f>
        <v>922499.99999999988</v>
      </c>
      <c r="H58" s="2">
        <f>YearMap!D2</f>
        <v>999374.99999999988</v>
      </c>
      <c r="I58" t="str">
        <f t="shared" si="6"/>
        <v>A1_Repurpose_Both_ops|FY2026</v>
      </c>
      <c r="O58" t="s">
        <v>620</v>
      </c>
      <c r="P58" t="s">
        <v>620</v>
      </c>
    </row>
    <row r="59" spans="1:16" x14ac:dyDescent="0.35">
      <c r="A59" t="str">
        <f>A9</f>
        <v>A1_Repurpose_Both_ops</v>
      </c>
      <c r="B59" t="s">
        <v>188</v>
      </c>
      <c r="C59">
        <f>IF(D9=1,0, BaselineCalc!$B$7 + ROUND(J9*F9,0))</f>
        <v>0</v>
      </c>
      <c r="D59">
        <f>IF(E9=1,0, BaselineCalc!$B$8 + J9 - ROUND(J9*F9,0))</f>
        <v>0</v>
      </c>
      <c r="E59">
        <f t="shared" si="5"/>
        <v>0</v>
      </c>
      <c r="F59" s="2">
        <f>YearMap!B3</f>
        <v>8613.4474197558757</v>
      </c>
      <c r="G59" s="2">
        <f>YearMap!C3</f>
        <v>915497.14624773955</v>
      </c>
      <c r="H59" s="2">
        <f>YearMap!D3</f>
        <v>1054424.7287522603</v>
      </c>
      <c r="I59" t="str">
        <f t="shared" si="6"/>
        <v>A1_Repurpose_Both_ops|FY2027</v>
      </c>
      <c r="O59" t="s">
        <v>620</v>
      </c>
      <c r="P59" t="s">
        <v>620</v>
      </c>
    </row>
    <row r="60" spans="1:16" x14ac:dyDescent="0.35">
      <c r="A60" t="str">
        <f>A9</f>
        <v>A1_Repurpose_Both_ops</v>
      </c>
      <c r="B60" t="s">
        <v>189</v>
      </c>
      <c r="C60">
        <f>IF(D9=1,0, BaselineCalc!$B$7 + ROUND(K9*F9,0))</f>
        <v>0</v>
      </c>
      <c r="D60">
        <f>IF(E9=1,0, BaselineCalc!$B$8 + K9 - ROUND(K9*F9,0))</f>
        <v>0</v>
      </c>
      <c r="E60">
        <f t="shared" ref="E60:E91" si="7">C60+D60</f>
        <v>0</v>
      </c>
      <c r="F60" s="2">
        <f>YearMap!B4</f>
        <v>8828.7836052497714</v>
      </c>
      <c r="G60" s="2">
        <f>YearMap!C4</f>
        <v>938384.57490393298</v>
      </c>
      <c r="H60" s="2">
        <f>YearMap!D4</f>
        <v>1080785.3469710669</v>
      </c>
      <c r="I60" t="str">
        <f t="shared" ref="I60:I87" si="8">A60&amp;"|"&amp;B60</f>
        <v>A1_Repurpose_Both_ops|FY2028</v>
      </c>
      <c r="O60" t="s">
        <v>620</v>
      </c>
      <c r="P60" t="s">
        <v>620</v>
      </c>
    </row>
    <row r="61" spans="1:16" x14ac:dyDescent="0.35">
      <c r="A61" t="str">
        <f>A9</f>
        <v>A1_Repurpose_Both_ops</v>
      </c>
      <c r="B61" t="s">
        <v>190</v>
      </c>
      <c r="C61">
        <f>IF(D9=1,0, BaselineCalc!$B$7 + ROUND(L9*F9,0))</f>
        <v>0</v>
      </c>
      <c r="D61">
        <f>IF(E9=1,0, BaselineCalc!$B$8 + L9 - ROUND(L9*F9,0))</f>
        <v>0</v>
      </c>
      <c r="E61">
        <f t="shared" si="7"/>
        <v>0</v>
      </c>
      <c r="F61" s="2">
        <f>YearMap!B5</f>
        <v>9049.5031953810158</v>
      </c>
      <c r="G61" s="2">
        <f>YearMap!C5</f>
        <v>961844.18927653122</v>
      </c>
      <c r="H61" s="2">
        <f>YearMap!D5</f>
        <v>1107804.9806453434</v>
      </c>
      <c r="I61" t="str">
        <f t="shared" si="8"/>
        <v>A1_Repurpose_Both_ops|FY2029</v>
      </c>
      <c r="O61" t="s">
        <v>620</v>
      </c>
      <c r="P61" t="s">
        <v>620</v>
      </c>
    </row>
    <row r="62" spans="1:16" x14ac:dyDescent="0.35">
      <c r="A62" t="str">
        <f>A9</f>
        <v>A1_Repurpose_Both_ops</v>
      </c>
      <c r="B62" t="s">
        <v>102</v>
      </c>
      <c r="C62">
        <f>IF(D9=1,0, BaselineCalc!$B$7 + ROUND(M9*F9,0))</f>
        <v>0</v>
      </c>
      <c r="D62">
        <f>IF(E9=1,0, BaselineCalc!$B$8 + M9 - ROUND(M9*F9,0))</f>
        <v>0</v>
      </c>
      <c r="E62">
        <f t="shared" si="7"/>
        <v>0</v>
      </c>
      <c r="F62" s="2">
        <f>YearMap!B6</f>
        <v>9275.7407752655399</v>
      </c>
      <c r="G62" s="2">
        <f>YearMap!C6</f>
        <v>985890.29400844453</v>
      </c>
      <c r="H62" s="2">
        <f>YearMap!D6</f>
        <v>1135500.1051614769</v>
      </c>
      <c r="I62" t="str">
        <f t="shared" si="8"/>
        <v>A1_Repurpose_Both_ops|FY2030</v>
      </c>
      <c r="O62" t="s">
        <v>620</v>
      </c>
      <c r="P62" t="s">
        <v>620</v>
      </c>
    </row>
    <row r="63" spans="1:16" x14ac:dyDescent="0.35">
      <c r="A63" t="str">
        <f>A10</f>
        <v>A2_Repurpose_Both_lease</v>
      </c>
      <c r="B63" t="s">
        <v>187</v>
      </c>
      <c r="C63">
        <f>IF(D10=1,0, BaselineCalc!$B$7 + ROUND(I10*F10,0))</f>
        <v>0</v>
      </c>
      <c r="D63">
        <f>IF(E10=1,0, BaselineCalc!$B$8 + I10 - ROUND(I10*F10,0))</f>
        <v>0</v>
      </c>
      <c r="E63">
        <f t="shared" si="7"/>
        <v>0</v>
      </c>
      <c r="F63" s="2">
        <f>YearMap!B2</f>
        <v>8403.3633363471963</v>
      </c>
      <c r="G63" s="2">
        <f>YearMap!C2</f>
        <v>922499.99999999988</v>
      </c>
      <c r="H63" s="2">
        <f>YearMap!D2</f>
        <v>999374.99999999988</v>
      </c>
      <c r="I63" t="str">
        <f t="shared" si="8"/>
        <v>A2_Repurpose_Both_lease|FY2026</v>
      </c>
      <c r="O63" t="s">
        <v>620</v>
      </c>
      <c r="P63" t="s">
        <v>620</v>
      </c>
    </row>
    <row r="64" spans="1:16" x14ac:dyDescent="0.35">
      <c r="A64" t="str">
        <f>A10</f>
        <v>A2_Repurpose_Both_lease</v>
      </c>
      <c r="B64" t="s">
        <v>188</v>
      </c>
      <c r="C64">
        <f>IF(D10=1,0, BaselineCalc!$B$7 + ROUND(J10*F10,0))</f>
        <v>0</v>
      </c>
      <c r="D64">
        <f>IF(E10=1,0, BaselineCalc!$B$8 + J10 - ROUND(J10*F10,0))</f>
        <v>0</v>
      </c>
      <c r="E64">
        <f t="shared" si="7"/>
        <v>0</v>
      </c>
      <c r="F64" s="2">
        <f>YearMap!B3</f>
        <v>8613.4474197558757</v>
      </c>
      <c r="G64" s="2">
        <f>YearMap!C3</f>
        <v>915497.14624773955</v>
      </c>
      <c r="H64" s="2">
        <f>YearMap!D3</f>
        <v>1054424.7287522603</v>
      </c>
      <c r="I64" t="str">
        <f t="shared" si="8"/>
        <v>A2_Repurpose_Both_lease|FY2027</v>
      </c>
      <c r="O64" t="s">
        <v>620</v>
      </c>
      <c r="P64" t="s">
        <v>620</v>
      </c>
    </row>
    <row r="65" spans="1:16" x14ac:dyDescent="0.35">
      <c r="A65" t="str">
        <f>A10</f>
        <v>A2_Repurpose_Both_lease</v>
      </c>
      <c r="B65" t="s">
        <v>189</v>
      </c>
      <c r="C65">
        <f>IF(D10=1,0, BaselineCalc!$B$7 + ROUND(K10*F10,0))</f>
        <v>0</v>
      </c>
      <c r="D65">
        <f>IF(E10=1,0, BaselineCalc!$B$8 + K10 - ROUND(K10*F10,0))</f>
        <v>0</v>
      </c>
      <c r="E65">
        <f t="shared" si="7"/>
        <v>0</v>
      </c>
      <c r="F65" s="2">
        <f>YearMap!B4</f>
        <v>8828.7836052497714</v>
      </c>
      <c r="G65" s="2">
        <f>YearMap!C4</f>
        <v>938384.57490393298</v>
      </c>
      <c r="H65" s="2">
        <f>YearMap!D4</f>
        <v>1080785.3469710669</v>
      </c>
      <c r="I65" t="str">
        <f t="shared" si="8"/>
        <v>A2_Repurpose_Both_lease|FY2028</v>
      </c>
      <c r="O65" t="s">
        <v>620</v>
      </c>
      <c r="P65" t="s">
        <v>620</v>
      </c>
    </row>
    <row r="66" spans="1:16" x14ac:dyDescent="0.35">
      <c r="A66" t="str">
        <f>A10</f>
        <v>A2_Repurpose_Both_lease</v>
      </c>
      <c r="B66" t="s">
        <v>190</v>
      </c>
      <c r="C66">
        <f>IF(D10=1,0, BaselineCalc!$B$7 + ROUND(L10*F10,0))</f>
        <v>0</v>
      </c>
      <c r="D66">
        <f>IF(E10=1,0, BaselineCalc!$B$8 + L10 - ROUND(L10*F10,0))</f>
        <v>0</v>
      </c>
      <c r="E66">
        <f t="shared" si="7"/>
        <v>0</v>
      </c>
      <c r="F66" s="2">
        <f>YearMap!B5</f>
        <v>9049.5031953810158</v>
      </c>
      <c r="G66" s="2">
        <f>YearMap!C5</f>
        <v>961844.18927653122</v>
      </c>
      <c r="H66" s="2">
        <f>YearMap!D5</f>
        <v>1107804.9806453434</v>
      </c>
      <c r="I66" t="str">
        <f t="shared" si="8"/>
        <v>A2_Repurpose_Both_lease|FY2029</v>
      </c>
      <c r="O66" t="s">
        <v>620</v>
      </c>
      <c r="P66" t="s">
        <v>620</v>
      </c>
    </row>
    <row r="67" spans="1:16" x14ac:dyDescent="0.35">
      <c r="A67" t="str">
        <f>A10</f>
        <v>A2_Repurpose_Both_lease</v>
      </c>
      <c r="B67" t="s">
        <v>102</v>
      </c>
      <c r="C67">
        <f>IF(D10=1,0, BaselineCalc!$B$7 + ROUND(M10*F10,0))</f>
        <v>0</v>
      </c>
      <c r="D67">
        <f>IF(E10=1,0, BaselineCalc!$B$8 + M10 - ROUND(M10*F10,0))</f>
        <v>0</v>
      </c>
      <c r="E67">
        <f t="shared" si="7"/>
        <v>0</v>
      </c>
      <c r="F67" s="2">
        <f>YearMap!B6</f>
        <v>9275.7407752655399</v>
      </c>
      <c r="G67" s="2">
        <f>YearMap!C6</f>
        <v>985890.29400844453</v>
      </c>
      <c r="H67" s="2">
        <f>YearMap!D6</f>
        <v>1135500.1051614769</v>
      </c>
      <c r="I67" t="str">
        <f t="shared" si="8"/>
        <v>A2_Repurpose_Both_lease|FY2030</v>
      </c>
      <c r="O67" t="s">
        <v>620</v>
      </c>
      <c r="P67" t="s">
        <v>620</v>
      </c>
    </row>
    <row r="68" spans="1:16" x14ac:dyDescent="0.35">
      <c r="A68" t="str">
        <f>A11</f>
        <v>D2_Repurpose_Echo_lease_PimaTargets</v>
      </c>
      <c r="B68" t="s">
        <v>187</v>
      </c>
      <c r="C68">
        <f>IF(D11=1,0, BaselineCalc!$B$7 + ROUND(I11*F11,0))</f>
        <v>0</v>
      </c>
      <c r="D68">
        <f>IF(E11=1,0, BaselineCalc!$B$8 + I11 - ROUND(I11*F11,0))</f>
        <v>312.66666666666669</v>
      </c>
      <c r="E68">
        <f t="shared" si="7"/>
        <v>312.66666666666669</v>
      </c>
      <c r="F68" s="2">
        <f>YearMap!B2</f>
        <v>8403.3633363471963</v>
      </c>
      <c r="G68" s="2">
        <f>YearMap!C2</f>
        <v>922499.99999999988</v>
      </c>
      <c r="H68" s="2">
        <f>YearMap!D2</f>
        <v>999374.99999999988</v>
      </c>
      <c r="I68" t="str">
        <f t="shared" si="8"/>
        <v>D2_Repurpose_Echo_lease_PimaTargets|FY2026</v>
      </c>
      <c r="O68" t="s">
        <v>620</v>
      </c>
      <c r="P68" t="s">
        <v>620</v>
      </c>
    </row>
    <row r="69" spans="1:16" x14ac:dyDescent="0.35">
      <c r="A69" t="str">
        <f>A11</f>
        <v>D2_Repurpose_Echo_lease_PimaTargets</v>
      </c>
      <c r="B69" t="s">
        <v>188</v>
      </c>
      <c r="C69">
        <f>IF(D11=1,0, BaselineCalc!$B$7 + ROUND(J11*F11,0))</f>
        <v>0</v>
      </c>
      <c r="D69">
        <f>IF(E11=1,0, BaselineCalc!$B$8 + J11 - ROUND(J11*F11,0))</f>
        <v>329.33333333333331</v>
      </c>
      <c r="E69">
        <f t="shared" si="7"/>
        <v>329.33333333333331</v>
      </c>
      <c r="F69" s="2">
        <f>YearMap!B3</f>
        <v>8613.4474197558757</v>
      </c>
      <c r="G69" s="2">
        <f>YearMap!C3</f>
        <v>915497.14624773955</v>
      </c>
      <c r="H69" s="2">
        <f>YearMap!D3</f>
        <v>1054424.7287522603</v>
      </c>
      <c r="I69" t="str">
        <f t="shared" si="8"/>
        <v>D2_Repurpose_Echo_lease_PimaTargets|FY2027</v>
      </c>
      <c r="O69" t="s">
        <v>620</v>
      </c>
      <c r="P69" t="s">
        <v>620</v>
      </c>
    </row>
    <row r="70" spans="1:16" x14ac:dyDescent="0.35">
      <c r="A70" t="str">
        <f>A11</f>
        <v>D2_Repurpose_Echo_lease_PimaTargets</v>
      </c>
      <c r="B70" t="s">
        <v>189</v>
      </c>
      <c r="C70">
        <f>IF(D11=1,0, BaselineCalc!$B$7 + ROUND(K11*F11,0))</f>
        <v>0</v>
      </c>
      <c r="D70">
        <f>IF(E11=1,0, BaselineCalc!$B$8 + K11 - ROUND(K11*F11,0))</f>
        <v>346</v>
      </c>
      <c r="E70">
        <f t="shared" si="7"/>
        <v>346</v>
      </c>
      <c r="F70" s="2">
        <f>YearMap!B4</f>
        <v>8828.7836052497714</v>
      </c>
      <c r="G70" s="2">
        <f>YearMap!C4</f>
        <v>938384.57490393298</v>
      </c>
      <c r="H70" s="2">
        <f>YearMap!D4</f>
        <v>1080785.3469710669</v>
      </c>
      <c r="I70" t="str">
        <f t="shared" si="8"/>
        <v>D2_Repurpose_Echo_lease_PimaTargets|FY2028</v>
      </c>
      <c r="O70" t="s">
        <v>620</v>
      </c>
      <c r="P70" t="s">
        <v>620</v>
      </c>
    </row>
    <row r="71" spans="1:16" x14ac:dyDescent="0.35">
      <c r="A71" t="str">
        <f>A11</f>
        <v>D2_Repurpose_Echo_lease_PimaTargets</v>
      </c>
      <c r="B71" t="s">
        <v>190</v>
      </c>
      <c r="C71">
        <f>IF(D11=1,0, BaselineCalc!$B$7 + ROUND(L11*F11,0))</f>
        <v>0</v>
      </c>
      <c r="D71">
        <f>IF(E11=1,0, BaselineCalc!$B$8 + L11 - ROUND(L11*F11,0))</f>
        <v>346</v>
      </c>
      <c r="E71">
        <f t="shared" si="7"/>
        <v>346</v>
      </c>
      <c r="F71" s="2">
        <f>YearMap!B5</f>
        <v>9049.5031953810158</v>
      </c>
      <c r="G71" s="2">
        <f>YearMap!C5</f>
        <v>961844.18927653122</v>
      </c>
      <c r="H71" s="2">
        <f>YearMap!D5</f>
        <v>1107804.9806453434</v>
      </c>
      <c r="I71" t="str">
        <f t="shared" si="8"/>
        <v>D2_Repurpose_Echo_lease_PimaTargets|FY2029</v>
      </c>
      <c r="O71" t="s">
        <v>620</v>
      </c>
      <c r="P71" t="s">
        <v>620</v>
      </c>
    </row>
    <row r="72" spans="1:16" x14ac:dyDescent="0.35">
      <c r="A72" t="str">
        <f>A11</f>
        <v>D2_Repurpose_Echo_lease_PimaTargets</v>
      </c>
      <c r="B72" t="s">
        <v>102</v>
      </c>
      <c r="C72">
        <f>IF(D11=1,0, BaselineCalc!$B$7 + ROUND(M11*F11,0))</f>
        <v>0</v>
      </c>
      <c r="D72">
        <f>IF(E11=1,0, BaselineCalc!$B$8 + M11 - ROUND(M11*F11,0))</f>
        <v>346</v>
      </c>
      <c r="E72">
        <f t="shared" si="7"/>
        <v>346</v>
      </c>
      <c r="F72" s="2">
        <f>YearMap!B6</f>
        <v>9275.7407752655399</v>
      </c>
      <c r="G72" s="2">
        <f>YearMap!C6</f>
        <v>985890.29400844453</v>
      </c>
      <c r="H72" s="2">
        <f>YearMap!D6</f>
        <v>1135500.1051614769</v>
      </c>
      <c r="I72" t="str">
        <f t="shared" si="8"/>
        <v>D2_Repurpose_Echo_lease_PimaTargets|FY2030</v>
      </c>
      <c r="O72" t="s">
        <v>620</v>
      </c>
      <c r="P72" t="s">
        <v>620</v>
      </c>
    </row>
    <row r="73" spans="1:16" x14ac:dyDescent="0.35">
      <c r="A73" t="str">
        <f>A12</f>
        <v>D1_Repurpose_Echo_ops_PimaTargets</v>
      </c>
      <c r="B73" t="s">
        <v>187</v>
      </c>
      <c r="C73">
        <f>IF(D12=1,0, BaselineCalc!$B$7 + ROUND(I12*F12,0))</f>
        <v>0</v>
      </c>
      <c r="D73">
        <f>IF(E12=1,0, BaselineCalc!$B$8 + I12 - ROUND(I12*F12,0))</f>
        <v>312.66666666666669</v>
      </c>
      <c r="E73">
        <f t="shared" si="7"/>
        <v>312.66666666666669</v>
      </c>
      <c r="F73" s="2">
        <f>YearMap!B2</f>
        <v>8403.3633363471963</v>
      </c>
      <c r="G73" s="2">
        <f>YearMap!C2</f>
        <v>922499.99999999988</v>
      </c>
      <c r="H73" s="2">
        <f>YearMap!D2</f>
        <v>999374.99999999988</v>
      </c>
      <c r="I73" t="str">
        <f t="shared" si="8"/>
        <v>D1_Repurpose_Echo_ops_PimaTargets|FY2026</v>
      </c>
      <c r="O73" t="s">
        <v>620</v>
      </c>
      <c r="P73" t="s">
        <v>620</v>
      </c>
    </row>
    <row r="74" spans="1:16" x14ac:dyDescent="0.35">
      <c r="A74" t="str">
        <f>A12</f>
        <v>D1_Repurpose_Echo_ops_PimaTargets</v>
      </c>
      <c r="B74" t="s">
        <v>188</v>
      </c>
      <c r="C74">
        <f>IF(D12=1,0, BaselineCalc!$B$7 + ROUND(J12*F12,0))</f>
        <v>0</v>
      </c>
      <c r="D74">
        <f>IF(E12=1,0, BaselineCalc!$B$8 + J12 - ROUND(J12*F12,0))</f>
        <v>329.33333333333331</v>
      </c>
      <c r="E74">
        <f t="shared" si="7"/>
        <v>329.33333333333331</v>
      </c>
      <c r="F74" s="2">
        <f>YearMap!B3</f>
        <v>8613.4474197558757</v>
      </c>
      <c r="G74" s="2">
        <f>YearMap!C3</f>
        <v>915497.14624773955</v>
      </c>
      <c r="H74" s="2">
        <f>YearMap!D3</f>
        <v>1054424.7287522603</v>
      </c>
      <c r="I74" t="str">
        <f t="shared" si="8"/>
        <v>D1_Repurpose_Echo_ops_PimaTargets|FY2027</v>
      </c>
      <c r="O74" t="s">
        <v>620</v>
      </c>
      <c r="P74" t="s">
        <v>620</v>
      </c>
    </row>
    <row r="75" spans="1:16" x14ac:dyDescent="0.35">
      <c r="A75" t="str">
        <f>A12</f>
        <v>D1_Repurpose_Echo_ops_PimaTargets</v>
      </c>
      <c r="B75" t="s">
        <v>189</v>
      </c>
      <c r="C75">
        <f>IF(D12=1,0, BaselineCalc!$B$7 + ROUND(K12*F12,0))</f>
        <v>0</v>
      </c>
      <c r="D75">
        <f>IF(E12=1,0, BaselineCalc!$B$8 + K12 - ROUND(K12*F12,0))</f>
        <v>346</v>
      </c>
      <c r="E75">
        <f t="shared" si="7"/>
        <v>346</v>
      </c>
      <c r="F75" s="2">
        <f>YearMap!B4</f>
        <v>8828.7836052497714</v>
      </c>
      <c r="G75" s="2">
        <f>YearMap!C4</f>
        <v>938384.57490393298</v>
      </c>
      <c r="H75" s="2">
        <f>YearMap!D4</f>
        <v>1080785.3469710669</v>
      </c>
      <c r="I75" t="str">
        <f t="shared" si="8"/>
        <v>D1_Repurpose_Echo_ops_PimaTargets|FY2028</v>
      </c>
      <c r="O75" t="s">
        <v>620</v>
      </c>
      <c r="P75" t="s">
        <v>620</v>
      </c>
    </row>
    <row r="76" spans="1:16" x14ac:dyDescent="0.35">
      <c r="A76" t="str">
        <f>A12</f>
        <v>D1_Repurpose_Echo_ops_PimaTargets</v>
      </c>
      <c r="B76" t="s">
        <v>190</v>
      </c>
      <c r="C76">
        <f>IF(D12=1,0, BaselineCalc!$B$7 + ROUND(L12*F12,0))</f>
        <v>0</v>
      </c>
      <c r="D76">
        <f>IF(E12=1,0, BaselineCalc!$B$8 + L12 - ROUND(L12*F12,0))</f>
        <v>346</v>
      </c>
      <c r="E76">
        <f t="shared" si="7"/>
        <v>346</v>
      </c>
      <c r="F76" s="2">
        <f>YearMap!B5</f>
        <v>9049.5031953810158</v>
      </c>
      <c r="G76" s="2">
        <f>YearMap!C5</f>
        <v>961844.18927653122</v>
      </c>
      <c r="H76" s="2">
        <f>YearMap!D5</f>
        <v>1107804.9806453434</v>
      </c>
      <c r="I76" t="str">
        <f t="shared" si="8"/>
        <v>D1_Repurpose_Echo_ops_PimaTargets|FY2029</v>
      </c>
      <c r="O76" t="s">
        <v>620</v>
      </c>
      <c r="P76" t="s">
        <v>620</v>
      </c>
    </row>
    <row r="77" spans="1:16" x14ac:dyDescent="0.35">
      <c r="A77" t="str">
        <f>A12</f>
        <v>D1_Repurpose_Echo_ops_PimaTargets</v>
      </c>
      <c r="B77" t="s">
        <v>102</v>
      </c>
      <c r="C77">
        <f>IF(D12=1,0, BaselineCalc!$B$7 + ROUND(M12*F12,0))</f>
        <v>0</v>
      </c>
      <c r="D77">
        <f>IF(E12=1,0, BaselineCalc!$B$8 + M12 - ROUND(M12*F12,0))</f>
        <v>346</v>
      </c>
      <c r="E77">
        <f t="shared" si="7"/>
        <v>346</v>
      </c>
      <c r="F77" s="2">
        <f>YearMap!B6</f>
        <v>9275.7407752655399</v>
      </c>
      <c r="G77" s="2">
        <f>YearMap!C6</f>
        <v>985890.29400844453</v>
      </c>
      <c r="H77" s="2">
        <f>YearMap!D6</f>
        <v>1135500.1051614769</v>
      </c>
      <c r="I77" t="str">
        <f t="shared" si="8"/>
        <v>D1_Repurpose_Echo_ops_PimaTargets|FY2030</v>
      </c>
      <c r="O77" t="s">
        <v>620</v>
      </c>
      <c r="P77" t="s">
        <v>620</v>
      </c>
    </row>
    <row r="78" spans="1:16" x14ac:dyDescent="0.35">
      <c r="A78" t="str">
        <f>A13</f>
        <v>D2_Repurpose_Pima_lease_EchoGHub_EchoTargets</v>
      </c>
      <c r="B78" t="s">
        <v>187</v>
      </c>
      <c r="C78">
        <f>IF(D13=1,0, BaselineCalc!$B$7 + ROUND(I13*F13,0))</f>
        <v>274</v>
      </c>
      <c r="D78">
        <f>IF(E13=1,0, BaselineCalc!$B$8 + I13 - ROUND(I13*F13,0))</f>
        <v>0</v>
      </c>
      <c r="E78">
        <f t="shared" si="7"/>
        <v>274</v>
      </c>
      <c r="F78" s="2">
        <f>YearMap!B2</f>
        <v>8403.3633363471963</v>
      </c>
      <c r="G78" s="2">
        <f>YearMap!C2</f>
        <v>922499.99999999988</v>
      </c>
      <c r="H78" s="2">
        <f>YearMap!D2</f>
        <v>999374.99999999988</v>
      </c>
      <c r="I78" t="str">
        <f t="shared" si="8"/>
        <v>D2_Repurpose_Pima_lease_EchoGHub_EchoTargets|FY2026</v>
      </c>
      <c r="O78" t="s">
        <v>620</v>
      </c>
      <c r="P78" t="s">
        <v>620</v>
      </c>
    </row>
    <row r="79" spans="1:16" x14ac:dyDescent="0.35">
      <c r="A79" t="str">
        <f>A13</f>
        <v>D2_Repurpose_Pima_lease_EchoGHub_EchoTargets</v>
      </c>
      <c r="B79" t="s">
        <v>188</v>
      </c>
      <c r="C79">
        <f>IF(D13=1,0, BaselineCalc!$B$7 + ROUND(J13*F13,0))</f>
        <v>290</v>
      </c>
      <c r="D79">
        <f>IF(E13=1,0, BaselineCalc!$B$8 + J13 - ROUND(J13*F13,0))</f>
        <v>0</v>
      </c>
      <c r="E79">
        <f t="shared" si="7"/>
        <v>290</v>
      </c>
      <c r="F79" s="2">
        <f>YearMap!B3</f>
        <v>8613.4474197558757</v>
      </c>
      <c r="G79" s="2">
        <f>YearMap!C3</f>
        <v>915497.14624773955</v>
      </c>
      <c r="H79" s="2">
        <f>YearMap!D3</f>
        <v>1054424.7287522603</v>
      </c>
      <c r="I79" t="str">
        <f t="shared" si="8"/>
        <v>D2_Repurpose_Pima_lease_EchoGHub_EchoTargets|FY2027</v>
      </c>
      <c r="O79" t="s">
        <v>620</v>
      </c>
      <c r="P79" t="s">
        <v>620</v>
      </c>
    </row>
    <row r="80" spans="1:16" x14ac:dyDescent="0.35">
      <c r="A80" t="str">
        <f>A13</f>
        <v>D2_Repurpose_Pima_lease_EchoGHub_EchoTargets</v>
      </c>
      <c r="B80" t="s">
        <v>189</v>
      </c>
      <c r="C80">
        <f>IF(D13=1,0, BaselineCalc!$B$7 + ROUND(K13*F13,0))</f>
        <v>307</v>
      </c>
      <c r="D80">
        <f>IF(E13=1,0, BaselineCalc!$B$8 + K13 - ROUND(K13*F13,0))</f>
        <v>0</v>
      </c>
      <c r="E80">
        <f t="shared" si="7"/>
        <v>307</v>
      </c>
      <c r="F80" s="2">
        <f>YearMap!B4</f>
        <v>8828.7836052497714</v>
      </c>
      <c r="G80" s="2">
        <f>YearMap!C4</f>
        <v>938384.57490393298</v>
      </c>
      <c r="H80" s="2">
        <f>YearMap!D4</f>
        <v>1080785.3469710669</v>
      </c>
      <c r="I80" t="str">
        <f t="shared" si="8"/>
        <v>D2_Repurpose_Pima_lease_EchoGHub_EchoTargets|FY2028</v>
      </c>
      <c r="O80" t="s">
        <v>620</v>
      </c>
      <c r="P80" t="s">
        <v>620</v>
      </c>
    </row>
    <row r="81" spans="1:16" x14ac:dyDescent="0.35">
      <c r="A81" t="str">
        <f>A13</f>
        <v>D2_Repurpose_Pima_lease_EchoGHub_EchoTargets</v>
      </c>
      <c r="B81" t="s">
        <v>190</v>
      </c>
      <c r="C81">
        <f>IF(D13=1,0, BaselineCalc!$B$7 + ROUND(L13*F13,0))</f>
        <v>307</v>
      </c>
      <c r="D81">
        <f>IF(E13=1,0, BaselineCalc!$B$8 + L13 - ROUND(L13*F13,0))</f>
        <v>0</v>
      </c>
      <c r="E81">
        <f t="shared" si="7"/>
        <v>307</v>
      </c>
      <c r="F81" s="2">
        <f>YearMap!B5</f>
        <v>9049.5031953810158</v>
      </c>
      <c r="G81" s="2">
        <f>YearMap!C5</f>
        <v>961844.18927653122</v>
      </c>
      <c r="H81" s="2">
        <f>YearMap!D5</f>
        <v>1107804.9806453434</v>
      </c>
      <c r="I81" t="str">
        <f t="shared" si="8"/>
        <v>D2_Repurpose_Pima_lease_EchoGHub_EchoTargets|FY2029</v>
      </c>
      <c r="O81" t="s">
        <v>620</v>
      </c>
      <c r="P81" t="s">
        <v>620</v>
      </c>
    </row>
    <row r="82" spans="1:16" x14ac:dyDescent="0.35">
      <c r="A82" t="str">
        <f>A13</f>
        <v>D2_Repurpose_Pima_lease_EchoGHub_EchoTargets</v>
      </c>
      <c r="B82" t="s">
        <v>102</v>
      </c>
      <c r="C82">
        <f>IF(D13=1,0, BaselineCalc!$B$7 + ROUND(M13*F13,0))</f>
        <v>307</v>
      </c>
      <c r="D82">
        <f>IF(E13=1,0, BaselineCalc!$B$8 + M13 - ROUND(M13*F13,0))</f>
        <v>0</v>
      </c>
      <c r="E82">
        <f t="shared" si="7"/>
        <v>307</v>
      </c>
      <c r="F82" s="2">
        <f>YearMap!B6</f>
        <v>9275.7407752655399</v>
      </c>
      <c r="G82" s="2">
        <f>YearMap!C6</f>
        <v>985890.29400844453</v>
      </c>
      <c r="H82" s="2">
        <f>YearMap!D6</f>
        <v>1135500.1051614769</v>
      </c>
      <c r="I82" t="str">
        <f t="shared" si="8"/>
        <v>D2_Repurpose_Pima_lease_EchoGHub_EchoTargets|FY2030</v>
      </c>
      <c r="O82" t="s">
        <v>620</v>
      </c>
      <c r="P82" t="s">
        <v>620</v>
      </c>
    </row>
    <row r="83" spans="1:16" x14ac:dyDescent="0.35">
      <c r="A83" t="str">
        <f>A14</f>
        <v>D1_Repurpose_Pima_ops_EchoGHub_EchoTargets</v>
      </c>
      <c r="B83" t="s">
        <v>187</v>
      </c>
      <c r="C83">
        <f>IF(D14=1,0, BaselineCalc!$B$7 + ROUND(I14*F14,0))</f>
        <v>274</v>
      </c>
      <c r="D83">
        <f>IF(E14=1,0, BaselineCalc!$B$8 + I14 - ROUND(I14*F14,0))</f>
        <v>0</v>
      </c>
      <c r="E83">
        <f t="shared" si="7"/>
        <v>274</v>
      </c>
      <c r="F83" s="2">
        <f>YearMap!B2</f>
        <v>8403.3633363471963</v>
      </c>
      <c r="G83" s="2">
        <f>YearMap!C2</f>
        <v>922499.99999999988</v>
      </c>
      <c r="H83" s="2">
        <f>YearMap!D2</f>
        <v>999374.99999999988</v>
      </c>
      <c r="I83" t="str">
        <f t="shared" si="8"/>
        <v>D1_Repurpose_Pima_ops_EchoGHub_EchoTargets|FY2026</v>
      </c>
      <c r="O83" t="s">
        <v>620</v>
      </c>
      <c r="P83" t="s">
        <v>620</v>
      </c>
    </row>
    <row r="84" spans="1:16" x14ac:dyDescent="0.35">
      <c r="A84" t="str">
        <f>A14</f>
        <v>D1_Repurpose_Pima_ops_EchoGHub_EchoTargets</v>
      </c>
      <c r="B84" t="s">
        <v>188</v>
      </c>
      <c r="C84">
        <f>IF(D14=1,0, BaselineCalc!$B$7 + ROUND(J14*F14,0))</f>
        <v>290</v>
      </c>
      <c r="D84">
        <f>IF(E14=1,0, BaselineCalc!$B$8 + J14 - ROUND(J14*F14,0))</f>
        <v>0</v>
      </c>
      <c r="E84">
        <f t="shared" si="7"/>
        <v>290</v>
      </c>
      <c r="F84" s="2">
        <f>YearMap!B3</f>
        <v>8613.4474197558757</v>
      </c>
      <c r="G84" s="2">
        <f>YearMap!C3</f>
        <v>915497.14624773955</v>
      </c>
      <c r="H84" s="2">
        <f>YearMap!D3</f>
        <v>1054424.7287522603</v>
      </c>
      <c r="I84" t="str">
        <f t="shared" si="8"/>
        <v>D1_Repurpose_Pima_ops_EchoGHub_EchoTargets|FY2027</v>
      </c>
      <c r="O84" t="s">
        <v>620</v>
      </c>
      <c r="P84" t="s">
        <v>620</v>
      </c>
    </row>
    <row r="85" spans="1:16" x14ac:dyDescent="0.35">
      <c r="A85" t="str">
        <f>A14</f>
        <v>D1_Repurpose_Pima_ops_EchoGHub_EchoTargets</v>
      </c>
      <c r="B85" t="s">
        <v>189</v>
      </c>
      <c r="C85">
        <f>IF(D14=1,0, BaselineCalc!$B$7 + ROUND(K14*F14,0))</f>
        <v>307</v>
      </c>
      <c r="D85">
        <f>IF(E14=1,0, BaselineCalc!$B$8 + K14 - ROUND(K14*F14,0))</f>
        <v>0</v>
      </c>
      <c r="E85">
        <f t="shared" si="7"/>
        <v>307</v>
      </c>
      <c r="F85" s="2">
        <f>YearMap!B4</f>
        <v>8828.7836052497714</v>
      </c>
      <c r="G85" s="2">
        <f>YearMap!C4</f>
        <v>938384.57490393298</v>
      </c>
      <c r="H85" s="2">
        <f>YearMap!D4</f>
        <v>1080785.3469710669</v>
      </c>
      <c r="I85" t="str">
        <f t="shared" si="8"/>
        <v>D1_Repurpose_Pima_ops_EchoGHub_EchoTargets|FY2028</v>
      </c>
      <c r="O85" t="s">
        <v>620</v>
      </c>
      <c r="P85" t="s">
        <v>620</v>
      </c>
    </row>
    <row r="86" spans="1:16" x14ac:dyDescent="0.35">
      <c r="A86" t="str">
        <f>A14</f>
        <v>D1_Repurpose_Pima_ops_EchoGHub_EchoTargets</v>
      </c>
      <c r="B86" t="s">
        <v>190</v>
      </c>
      <c r="C86">
        <f>IF(D14=1,0, BaselineCalc!$B$7 + ROUND(L14*F14,0))</f>
        <v>307</v>
      </c>
      <c r="D86">
        <f>IF(E14=1,0, BaselineCalc!$B$8 + L14 - ROUND(L14*F14,0))</f>
        <v>0</v>
      </c>
      <c r="E86">
        <f t="shared" si="7"/>
        <v>307</v>
      </c>
      <c r="F86" s="2">
        <f>YearMap!B5</f>
        <v>9049.5031953810158</v>
      </c>
      <c r="G86" s="2">
        <f>YearMap!C5</f>
        <v>961844.18927653122</v>
      </c>
      <c r="H86" s="2">
        <f>YearMap!D5</f>
        <v>1107804.9806453434</v>
      </c>
      <c r="I86" t="str">
        <f t="shared" si="8"/>
        <v>D1_Repurpose_Pima_ops_EchoGHub_EchoTargets|FY2029</v>
      </c>
      <c r="O86" t="s">
        <v>620</v>
      </c>
      <c r="P86" t="s">
        <v>620</v>
      </c>
    </row>
    <row r="87" spans="1:16" x14ac:dyDescent="0.35">
      <c r="A87" t="str">
        <f>A14</f>
        <v>D1_Repurpose_Pima_ops_EchoGHub_EchoTargets</v>
      </c>
      <c r="B87" t="s">
        <v>102</v>
      </c>
      <c r="C87">
        <f>IF(D14=1,0, BaselineCalc!$B$7 + ROUND(M14*F14,0))</f>
        <v>307</v>
      </c>
      <c r="D87">
        <f>IF(E14=1,0, BaselineCalc!$B$8 + M14 - ROUND(M14*F14,0))</f>
        <v>0</v>
      </c>
      <c r="E87">
        <f t="shared" si="7"/>
        <v>307</v>
      </c>
      <c r="F87" s="2">
        <f>YearMap!B6</f>
        <v>9275.7407752655399</v>
      </c>
      <c r="G87" s="2">
        <f>YearMap!C6</f>
        <v>985890.29400844453</v>
      </c>
      <c r="H87" s="2">
        <f>YearMap!D6</f>
        <v>1135500.1051614769</v>
      </c>
      <c r="I87" t="str">
        <f t="shared" si="8"/>
        <v>D1_Repurpose_Pima_ops_EchoGHub_EchoTargets|FY2030</v>
      </c>
      <c r="O87" t="s">
        <v>620</v>
      </c>
      <c r="P87" t="s">
        <v>620</v>
      </c>
    </row>
  </sheetData>
  <mergeCells count="1">
    <mergeCell ref="C1:G1"/>
  </mergeCells>
  <dataValidations count="1">
    <dataValidation type="list" allowBlank="1" showInputMessage="1" showErrorMessage="1" sqref="O3:P15" xr:uid="{00000000-0002-0000-0B00-000000000000}">
      <formula1>"None, Arts, Innov"</formula1>
    </dataValidation>
  </dataValidations>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66"/>
  <sheetViews>
    <sheetView zoomScale="70" zoomScaleNormal="70" workbookViewId="0">
      <pane xSplit="2" ySplit="1" topLeftCell="C22" activePane="bottomRight" state="frozen"/>
      <selection activeCell="B2" sqref="B2"/>
      <selection pane="topRight" activeCell="B2" sqref="B2"/>
      <selection pane="bottomLeft" activeCell="B2" sqref="B2"/>
      <selection pane="bottomRight" activeCell="G32" sqref="G32"/>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 t="shared" ref="A1:A32" si="0">AG1</f>
        <v>Key</v>
      </c>
      <c r="B1" s="1" t="s">
        <v>600</v>
      </c>
      <c r="C1" s="1" t="s">
        <v>184</v>
      </c>
      <c r="D1" s="1" t="s">
        <v>660</v>
      </c>
      <c r="E1" s="1" t="s">
        <v>661</v>
      </c>
      <c r="F1" s="1" t="s">
        <v>662</v>
      </c>
      <c r="G1" s="1" t="s">
        <v>663</v>
      </c>
      <c r="H1" s="1" t="s">
        <v>664</v>
      </c>
      <c r="I1" s="1" t="s">
        <v>665</v>
      </c>
      <c r="J1" s="1" t="s">
        <v>667</v>
      </c>
      <c r="K1" s="1" t="s">
        <v>668</v>
      </c>
      <c r="L1" s="1" t="s">
        <v>669</v>
      </c>
      <c r="M1" s="1" t="s">
        <v>670</v>
      </c>
      <c r="N1" s="1" t="s">
        <v>671</v>
      </c>
      <c r="O1" s="1" t="s">
        <v>672</v>
      </c>
      <c r="P1" s="1" t="s">
        <v>673</v>
      </c>
      <c r="Q1" s="1" t="s">
        <v>674</v>
      </c>
      <c r="R1" s="1" t="s">
        <v>675</v>
      </c>
      <c r="S1" s="1" t="s">
        <v>676</v>
      </c>
      <c r="T1" s="1" t="s">
        <v>677</v>
      </c>
      <c r="U1" s="1" t="s">
        <v>678</v>
      </c>
      <c r="V1" s="1" t="s">
        <v>679</v>
      </c>
      <c r="W1" s="1" t="s">
        <v>680</v>
      </c>
      <c r="X1" s="1" t="s">
        <v>681</v>
      </c>
      <c r="Y1" t="s">
        <v>682</v>
      </c>
      <c r="Z1" t="s">
        <v>683</v>
      </c>
      <c r="AA1" t="s">
        <v>684</v>
      </c>
      <c r="AB1" t="s">
        <v>685</v>
      </c>
      <c r="AC1" t="s">
        <v>686</v>
      </c>
      <c r="AD1" t="s">
        <v>687</v>
      </c>
      <c r="AE1" t="s">
        <v>688</v>
      </c>
      <c r="AF1" t="s">
        <v>409</v>
      </c>
      <c r="AG1" s="1" t="s">
        <v>666</v>
      </c>
    </row>
    <row r="2" spans="1:33" x14ac:dyDescent="0.35">
      <c r="A2" t="str">
        <f t="shared" si="0"/>
        <v>F1_CUSTOM1|FY2026</v>
      </c>
      <c r="B2" t="str">
        <f>Scenarios!A3</f>
        <v>F1_CUSTOM1</v>
      </c>
      <c r="C2" t="s">
        <v>187</v>
      </c>
      <c r="D2">
        <f>IF(Scenarios!D3=1,0, L2)</f>
        <v>257</v>
      </c>
      <c r="E2">
        <f>IF(Scenarios!E3=1,0, M2)</f>
        <v>296</v>
      </c>
      <c r="F2">
        <f t="shared" ref="F2:F33" si="1">D2+E2</f>
        <v>553</v>
      </c>
      <c r="G2" s="2">
        <f>YearMap!B2</f>
        <v>8403.3633363471963</v>
      </c>
      <c r="H2" s="2">
        <f>YearMap!C2</f>
        <v>922499.99999999988</v>
      </c>
      <c r="I2" s="2">
        <f>YearMap!D2</f>
        <v>999374.99999999988</v>
      </c>
      <c r="J2">
        <f>1-BaselineCalc!$B$5</f>
        <v>0.99299999999999999</v>
      </c>
      <c r="K2">
        <f>Scenarios!G3</f>
        <v>0</v>
      </c>
      <c r="L2">
        <f>IF(Scenarios!$Q3=1,BaselineCalc!$B$7*(1+Parameters_Public!$C44)^(IF($C2="FY2026",0,IF($C2="FY2027",1,IF($C2="FY2028",2,IF($C2="FY2029",3,IF($C2="FY2030",4,0))))))+ROUND(Scenarios!I3*Scenarios!$F3,0),BaselineCalc!$B$7+ROUND(Scenarios!I3*Scenarios!$F3,0))</f>
        <v>257</v>
      </c>
      <c r="M2">
        <f>IF(Scenarios!$R3=1,BaselineCalc!$B$8*(1+Parameters_Public!$C45)^(IF($C2="FY2026",0,IF($C2="FY2027",1,IF($C2="FY2028",2,IF($C2="FY2029",3,IF($C2="FY2030",4,0))))))+Scenarios!I3-ROUND(Scenarios!I3*Scenarios!$F3,0),BaselineCalc!$B$8+Scenarios!I3-ROUND(Scenarios!I3*Scenarios!$F3,0))</f>
        <v>296</v>
      </c>
      <c r="N2" s="11">
        <f t="shared" ref="N2:N33" si="2">(L2-D2) + (M2-E2)</f>
        <v>0</v>
      </c>
      <c r="O2" s="11">
        <f>(Parameters_Public!$C$23*(L2-D2)+Parameters_Public!$C$24*(M2-E2))</f>
        <v>0</v>
      </c>
      <c r="P2">
        <f>YearMap!E2</f>
        <v>1000</v>
      </c>
      <c r="Q2">
        <f>IF(Scenarios!N3="lease", YearMap!F2, YearMap!G2)</f>
        <v>0.75</v>
      </c>
      <c r="R2" s="2">
        <f>IF(Scenarios!D3=1, Q2*H2, H2)</f>
        <v>922499.99999999988</v>
      </c>
      <c r="S2" s="2">
        <f>IF(Scenarios!E3=1, Q2*I2, I2)</f>
        <v>999374.99999999988</v>
      </c>
      <c r="T2" s="2">
        <f>IF(C2="FY2026", (Scenarios!D3+Scenarios!E3)*BaselineCalc!$B$22, 0)</f>
        <v>0</v>
      </c>
      <c r="U2" s="2">
        <f t="shared" ref="U2:U33" si="3">(R2+S2+G2*F2)*J2*(1-K2)</f>
        <v>6522952.3805249995</v>
      </c>
      <c r="V2" s="2">
        <f t="shared" ref="V2:V33" si="4">O2*(G2+P2)</f>
        <v>0</v>
      </c>
      <c r="W2" s="2">
        <f>U2+V2+IF(Parameters_Public!$C$28=1, T2, 0)</f>
        <v>6522952.3805249995</v>
      </c>
      <c r="X2" s="2">
        <f t="shared" ref="X2:X33" si="5">IF(F2+O2&gt;0, W2/(F2+O2),"")</f>
        <v>11795.573924999999</v>
      </c>
      <c r="Y2" s="2">
        <f>INDEX(YearMap!$I$2:$I$6, MATCH(C2, YearMap!$A$2:$A$6, 0))</f>
        <v>5013</v>
      </c>
      <c r="Z2" s="2">
        <f>W2 - ((Y2 + IF(Parameters_Public!$C$20=1, Parameters_Public!$C$19, 0))*AC2)</f>
        <v>3334935.0305249994</v>
      </c>
      <c r="AA2" s="2">
        <f t="shared" ref="AA2:AA33" si="6">IF($AC2&gt;0, $Z2/$AC2, 0)</f>
        <v>6030.623924999999</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(1-Parameters_Public!$C$43)*$G2*$AB2*$J2*(1-$K2)) + AB2*INDEX(YearMap!$Q$2:$Q$6, MATCH(C2, YearMap!$A$2:$A$6, 0))</f>
        <v>6522952.3805249995</v>
      </c>
      <c r="AF2" s="2">
        <f t="shared" ref="AF2:AF33" si="8">AD2-AE2</f>
        <v>-459335.03052499983</v>
      </c>
      <c r="AG2" t="str">
        <f t="shared" ref="AG2:AG33" si="9">B2&amp;"|"&amp;C2</f>
        <v>F1_CUSTOM1|FY2026</v>
      </c>
    </row>
    <row r="3" spans="1:33" x14ac:dyDescent="0.35">
      <c r="A3" t="str">
        <f t="shared" si="0"/>
        <v>F1_CUSTOM1|FY2027</v>
      </c>
      <c r="B3" t="str">
        <f>Scenarios!A3</f>
        <v>F1_CUSTOM1</v>
      </c>
      <c r="C3" t="s">
        <v>188</v>
      </c>
      <c r="D3">
        <f>IF(Scenarios!D3=1,0, L3)</f>
        <v>257</v>
      </c>
      <c r="E3">
        <f>IF(Scenarios!E3=1,0, M3)</f>
        <v>296</v>
      </c>
      <c r="F3">
        <f t="shared" si="1"/>
        <v>553</v>
      </c>
      <c r="G3" s="2">
        <f>YearMap!B3</f>
        <v>8613.4474197558757</v>
      </c>
      <c r="H3" s="2">
        <f>YearMap!C3</f>
        <v>915497.14624773955</v>
      </c>
      <c r="I3" s="2">
        <f>YearMap!D3</f>
        <v>1054424.7287522603</v>
      </c>
      <c r="J3">
        <f>1-BaselineCalc!$B$5</f>
        <v>0.99299999999999999</v>
      </c>
      <c r="K3">
        <f>Scenarios!G3</f>
        <v>0</v>
      </c>
      <c r="L3">
        <f>IF(Scenarios!$Q3=1,BaselineCalc!$B$7*(1+Parameters_Public!$C44)^(IF($C3="FY2026",0,IF($C3="FY2027",1,IF($C3="FY2028",2,IF($C3="FY2029",3,IF($C3="FY2030",4,0))))))+ROUND(Scenarios!J3*Scenarios!$F3,0),BaselineCalc!$B$7+ROUND(Scenarios!J3*Scenarios!$F3,0))</f>
        <v>257</v>
      </c>
      <c r="M3">
        <f>IF(Scenarios!$R3=1,BaselineCalc!$B$8*(1+Parameters_Public!$C45)^(IF($C3="FY2026",0,IF($C3="FY2027",1,IF($C3="FY2028",2,IF($C3="FY2029",3,IF($C3="FY2030",4,0))))))+Scenarios!J3-ROUND(Scenarios!J3*Scenarios!$F3,0),BaselineCalc!$B$8+Scenarios!J3-ROUND(Scenarios!J3*Scenarios!$F3,0))</f>
        <v>296</v>
      </c>
      <c r="N3" s="11">
        <f t="shared" si="2"/>
        <v>0</v>
      </c>
      <c r="O3" s="11">
        <f>(Parameters_Public!$C$23*(L3-D3)+Parameters_Public!$C$24*(M3-E3))</f>
        <v>0</v>
      </c>
      <c r="P3">
        <f>YearMap!E3</f>
        <v>800</v>
      </c>
      <c r="Q3">
        <f>IF(Scenarios!N3="lease", YearMap!F3, YearMap!G3)</f>
        <v>0.7</v>
      </c>
      <c r="R3" s="2">
        <f>IF(Scenarios!D3=1, Q3*H3, H3)</f>
        <v>915497.14624773955</v>
      </c>
      <c r="S3" s="2">
        <f>IF(Scenarios!E3=1, Q3*I3, I3)</f>
        <v>1054424.7287522603</v>
      </c>
      <c r="T3" s="2">
        <f>IF(C3="FY2026", (Scenarios!D3+Scenarios!E3)*BaselineCalc!$B$22, 0)</f>
        <v>0</v>
      </c>
      <c r="U3" s="2">
        <f t="shared" si="3"/>
        <v>6686026.1900381241</v>
      </c>
      <c r="V3" s="2">
        <f t="shared" si="4"/>
        <v>0</v>
      </c>
      <c r="W3" s="2">
        <f>U3+V3+IF(Parameters_Public!$C$28=1, T3, 0)</f>
        <v>6686026.1900381241</v>
      </c>
      <c r="X3" s="2">
        <f t="shared" si="5"/>
        <v>12090.463273124999</v>
      </c>
      <c r="Y3" s="2">
        <f>INDEX(YearMap!$I$2:$I$6, MATCH(C3, YearMap!$A$2:$A$6, 0))</f>
        <v>5138.3249999999998</v>
      </c>
      <c r="Z3" s="2">
        <f>W3 - ((Y3 + IF(Parameters_Public!$C$20=1, Parameters_Public!$C$19, 0))*AC3)</f>
        <v>3428704.1150381244</v>
      </c>
      <c r="AA3" s="2">
        <f t="shared" si="6"/>
        <v>6200.1882731249989</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(1-Parameters_Public!$C$43)*$G3*$AB3*$J3*(1-$K3)) + AB3*INDEX(YearMap!$Q$2:$Q$6, MATCH(C3, YearMap!$A$2:$A$6, 0))</f>
        <v>6686026.1900381241</v>
      </c>
      <c r="AF3" s="2">
        <f t="shared" si="8"/>
        <v>-470818.40628812462</v>
      </c>
      <c r="AG3" t="str">
        <f t="shared" si="9"/>
        <v>F1_CUSTOM1|FY2027</v>
      </c>
    </row>
    <row r="4" spans="1:33" x14ac:dyDescent="0.35">
      <c r="A4" t="str">
        <f t="shared" si="0"/>
        <v>F1_CUSTOM1|FY2028</v>
      </c>
      <c r="B4" t="str">
        <f>Scenarios!A3</f>
        <v>F1_CUSTOM1</v>
      </c>
      <c r="C4" t="s">
        <v>189</v>
      </c>
      <c r="D4">
        <f>IF(Scenarios!D3=1,0, L4)</f>
        <v>257</v>
      </c>
      <c r="E4">
        <f>IF(Scenarios!E3=1,0, M4)</f>
        <v>296</v>
      </c>
      <c r="F4">
        <f t="shared" si="1"/>
        <v>553</v>
      </c>
      <c r="G4" s="2">
        <f>YearMap!B4</f>
        <v>8828.7836052497714</v>
      </c>
      <c r="H4" s="2">
        <f>YearMap!C4</f>
        <v>938384.57490393298</v>
      </c>
      <c r="I4" s="2">
        <f>YearMap!D4</f>
        <v>1080785.3469710669</v>
      </c>
      <c r="J4">
        <f>1-BaselineCalc!$B$5</f>
        <v>0.99299999999999999</v>
      </c>
      <c r="K4">
        <f>Scenarios!G3</f>
        <v>0</v>
      </c>
      <c r="L4">
        <f>IF(Scenarios!$Q3=1,BaselineCalc!$B$7*(1+Parameters_Public!$C44)^(IF($C4="FY2026",0,IF($C4="FY2027",1,IF($C4="FY2028",2,IF($C4="FY2029",3,IF($C4="FY2030",4,0))))))+ROUND(Scenarios!K3*Scenarios!$F3,0),BaselineCalc!$B$7+ROUND(Scenarios!K3*Scenarios!$F3,0))</f>
        <v>257</v>
      </c>
      <c r="M4">
        <f>IF(Scenarios!$R3=1,BaselineCalc!$B$8*(1+Parameters_Public!$C45)^(IF($C4="FY2026",0,IF($C4="FY2027",1,IF($C4="FY2028",2,IF($C4="FY2029",3,IF($C4="FY2030",4,0))))))+Scenarios!K3-ROUND(Scenarios!K3*Scenarios!$F3,0),BaselineCalc!$B$8+Scenarios!K3-ROUND(Scenarios!K3*Scenarios!$F3,0))</f>
        <v>296</v>
      </c>
      <c r="N4" s="11">
        <f t="shared" si="2"/>
        <v>0</v>
      </c>
      <c r="O4" s="11">
        <f>(Parameters_Public!$C$23*(L4-D4)+Parameters_Public!$C$24*(M4-E4))</f>
        <v>0</v>
      </c>
      <c r="P4">
        <f>YearMap!E4</f>
        <v>600</v>
      </c>
      <c r="Q4">
        <f>IF(Scenarios!N3="lease", YearMap!F4, YearMap!G4)</f>
        <v>0.65</v>
      </c>
      <c r="R4" s="2">
        <f>IF(Scenarios!D3=1, Q4*H4, H4)</f>
        <v>938384.57490393298</v>
      </c>
      <c r="S4" s="2">
        <f>IF(Scenarios!E3=1, Q4*I4, I4)</f>
        <v>1080785.3469710669</v>
      </c>
      <c r="T4" s="2">
        <f>IF(C4="FY2026", (Scenarios!D3+Scenarios!E3)*BaselineCalc!$B$22, 0)</f>
        <v>0</v>
      </c>
      <c r="U4" s="2">
        <f t="shared" si="3"/>
        <v>6853176.8447890766</v>
      </c>
      <c r="V4" s="2">
        <f t="shared" si="4"/>
        <v>0</v>
      </c>
      <c r="W4" s="2">
        <f>U4+V4+IF(Parameters_Public!$C$28=1, T4, 0)</f>
        <v>6853176.8447890766</v>
      </c>
      <c r="X4" s="2">
        <f t="shared" si="5"/>
        <v>12392.724854953121</v>
      </c>
      <c r="Y4" s="2">
        <f>INDEX(YearMap!$I$2:$I$6, MATCH(C4, YearMap!$A$2:$A$6, 0))</f>
        <v>5266.7831249999999</v>
      </c>
      <c r="Z4" s="2">
        <f>W4 - ((Y4 + IF(Parameters_Public!$C$20=1, Parameters_Public!$C$19, 0))*AC4)</f>
        <v>3524817.4266640767</v>
      </c>
      <c r="AA4" s="2">
        <f t="shared" si="6"/>
        <v>6373.9917299531226</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(1-Parameters_Public!$C$43)*$G4*$AB4*$J4*(1-$K4)) + AB4*INDEX(YearMap!$Q$2:$Q$6, MATCH(C4, YearMap!$A$2:$A$6, 0))</f>
        <v>6853176.8447890766</v>
      </c>
      <c r="AF4" s="2">
        <f t="shared" si="8"/>
        <v>-482588.86644532718</v>
      </c>
      <c r="AG4" t="str">
        <f t="shared" si="9"/>
        <v>F1_CUSTOM1|FY2028</v>
      </c>
    </row>
    <row r="5" spans="1:33" x14ac:dyDescent="0.35">
      <c r="A5" t="str">
        <f t="shared" si="0"/>
        <v>F1_CUSTOM1|FY2029</v>
      </c>
      <c r="B5" t="str">
        <f>Scenarios!A3</f>
        <v>F1_CUSTOM1</v>
      </c>
      <c r="C5" t="s">
        <v>190</v>
      </c>
      <c r="D5">
        <f>IF(Scenarios!D3=1,0, L5)</f>
        <v>257</v>
      </c>
      <c r="E5">
        <f>IF(Scenarios!E3=1,0, M5)</f>
        <v>296</v>
      </c>
      <c r="F5">
        <f t="shared" si="1"/>
        <v>553</v>
      </c>
      <c r="G5" s="2">
        <f>YearMap!B5</f>
        <v>9049.5031953810158</v>
      </c>
      <c r="H5" s="2">
        <f>YearMap!C5</f>
        <v>961844.18927653122</v>
      </c>
      <c r="I5" s="2">
        <f>YearMap!D5</f>
        <v>1107804.9806453434</v>
      </c>
      <c r="J5">
        <f>1-BaselineCalc!$B$5</f>
        <v>0.99299999999999999</v>
      </c>
      <c r="K5">
        <f>Scenarios!G3</f>
        <v>0</v>
      </c>
      <c r="L5">
        <f>IF(Scenarios!$Q3=1,BaselineCalc!$B$7*(1+Parameters_Public!$C44)^(IF($C5="FY2026",0,IF($C5="FY2027",1,IF($C5="FY2028",2,IF($C5="FY2029",3,IF($C5="FY2030",4,0))))))+ROUND(Scenarios!L3*Scenarios!$F3,0),BaselineCalc!$B$7+ROUND(Scenarios!L3*Scenarios!$F3,0))</f>
        <v>257</v>
      </c>
      <c r="M5">
        <f>IF(Scenarios!$R3=1,BaselineCalc!$B$8*(1+Parameters_Public!$C45)^(IF($C5="FY2026",0,IF($C5="FY2027",1,IF($C5="FY2028",2,IF($C5="FY2029",3,IF($C5="FY2030",4,0))))))+Scenarios!L3-ROUND(Scenarios!L3*Scenarios!$F3,0),BaselineCalc!$B$8+Scenarios!L3-ROUND(Scenarios!L3*Scenarios!$F3,0))</f>
        <v>296</v>
      </c>
      <c r="N5" s="11">
        <f t="shared" si="2"/>
        <v>0</v>
      </c>
      <c r="O5" s="11">
        <f>(Parameters_Public!$C$23*(L5-D5)+Parameters_Public!$C$24*(M5-E5))</f>
        <v>0</v>
      </c>
      <c r="P5">
        <f>YearMap!E5</f>
        <v>500</v>
      </c>
      <c r="Q5">
        <f>IF(Scenarios!N3="lease", YearMap!F5, YearMap!G5)</f>
        <v>0.6</v>
      </c>
      <c r="R5" s="2">
        <f>IF(Scenarios!D3=1, Q5*H5, H5)</f>
        <v>961844.18927653122</v>
      </c>
      <c r="S5" s="2">
        <f>IF(Scenarios!E3=1, Q5*I5, I5)</f>
        <v>1107804.9806453434</v>
      </c>
      <c r="T5" s="2">
        <f>IF(C5="FY2026", (Scenarios!D3+Scenarios!E3)*BaselineCalc!$B$22, 0)</f>
        <v>0</v>
      </c>
      <c r="U5" s="2">
        <f t="shared" si="3"/>
        <v>7024506.2659088029</v>
      </c>
      <c r="V5" s="2">
        <f t="shared" si="4"/>
        <v>0</v>
      </c>
      <c r="W5" s="2">
        <f>U5+V5+IF(Parameters_Public!$C$28=1,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(1-Parameters_Public!$C$43)*$G5*$AB5*$J5*(1-$K5)) + AB5*INDEX(YearMap!$Q$2:$Q$6, MATCH(C5, YearMap!$A$2:$A$6, 0))</f>
        <v>7024506.2659088029</v>
      </c>
      <c r="AF5" s="2">
        <f t="shared" si="8"/>
        <v>-494653.58810645994</v>
      </c>
      <c r="AG5" t="str">
        <f t="shared" si="9"/>
        <v>F1_CUSTOM1|FY2029</v>
      </c>
    </row>
    <row r="6" spans="1:33" x14ac:dyDescent="0.35">
      <c r="A6" t="str">
        <f t="shared" si="0"/>
        <v>F1_CUSTOM1|FY2030</v>
      </c>
      <c r="B6" t="str">
        <f>Scenarios!A3</f>
        <v>F1_CUSTOM1</v>
      </c>
      <c r="C6" t="s">
        <v>102</v>
      </c>
      <c r="D6">
        <f>IF(Scenarios!D3=1,0, L6)</f>
        <v>257</v>
      </c>
      <c r="E6">
        <f>IF(Scenarios!E3=1,0, M6)</f>
        <v>296</v>
      </c>
      <c r="F6">
        <f t="shared" si="1"/>
        <v>553</v>
      </c>
      <c r="G6" s="2">
        <f>YearMap!B6</f>
        <v>9275.7407752655399</v>
      </c>
      <c r="H6" s="2">
        <f>YearMap!C6</f>
        <v>985890.29400844453</v>
      </c>
      <c r="I6" s="2">
        <f>YearMap!D6</f>
        <v>1135500.1051614769</v>
      </c>
      <c r="J6">
        <f>1-BaselineCalc!$B$5</f>
        <v>0.99299999999999999</v>
      </c>
      <c r="K6">
        <f>Scenarios!G3</f>
        <v>0</v>
      </c>
      <c r="L6">
        <f>IF(Scenarios!$Q3=1,BaselineCalc!$B$7*(1+Parameters_Public!$C44)^(IF($C6="FY2026",0,IF($C6="FY2027",1,IF($C6="FY2028",2,IF($C6="FY2029",3,IF($C6="FY2030",4,0))))))+ROUND(Scenarios!M3*Scenarios!$F3,0),BaselineCalc!$B$7+ROUND(Scenarios!M3*Scenarios!$F3,0))</f>
        <v>257</v>
      </c>
      <c r="M6">
        <f>IF(Scenarios!$R3=1,BaselineCalc!$B$8*(1+Parameters_Public!$C45)^(IF($C6="FY2026",0,IF($C6="FY2027",1,IF($C6="FY2028",2,IF($C6="FY2029",3,IF($C6="FY2030",4,0))))))+Scenarios!M3-ROUND(Scenarios!M3*Scenarios!$F3,0),BaselineCalc!$B$8+Scenarios!M3-ROUND(Scenarios!M3*Scenarios!$F3,0))</f>
        <v>296</v>
      </c>
      <c r="N6" s="11">
        <f t="shared" si="2"/>
        <v>0</v>
      </c>
      <c r="O6" s="11">
        <f>(Parameters_Public!$C$23*(L6-D6)+Parameters_Public!$C$24*(M6-E6))</f>
        <v>0</v>
      </c>
      <c r="P6">
        <f>YearMap!E6</f>
        <v>300</v>
      </c>
      <c r="Q6">
        <f>IF(Scenarios!N3="lease", YearMap!F6, YearMap!G6)</f>
        <v>0.6</v>
      </c>
      <c r="R6" s="2">
        <f>IF(Scenarios!D3=1, Q6*H6, H6)</f>
        <v>985890.29400844453</v>
      </c>
      <c r="S6" s="2">
        <f>IF(Scenarios!E3=1, Q6*I6, I6)</f>
        <v>1135500.1051614769</v>
      </c>
      <c r="T6" s="2">
        <f>IF(C6="FY2026", (Scenarios!D3+Scenarios!E3)*BaselineCalc!$B$22, 0)</f>
        <v>0</v>
      </c>
      <c r="U6" s="2">
        <f t="shared" si="3"/>
        <v>7200118.9225565232</v>
      </c>
      <c r="V6" s="2">
        <f t="shared" si="4"/>
        <v>0</v>
      </c>
      <c r="W6" s="2">
        <f>U6+V6+IF(Parameters_Public!$C$28=1,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(1-Parameters_Public!$C$43)*$G6*$AB6*$J6*(1-$K6)) + AB6*INDEX(YearMap!$Q$2:$Q$6, MATCH(C6, YearMap!$A$2:$A$6, 0))</f>
        <v>7200118.9225565232</v>
      </c>
      <c r="AF6" s="2">
        <f t="shared" si="8"/>
        <v>-507019.92780912202</v>
      </c>
      <c r="AG6" t="str">
        <f t="shared" si="9"/>
        <v>F1_CUSTOM1|FY2030</v>
      </c>
    </row>
    <row r="7" spans="1:33" x14ac:dyDescent="0.35">
      <c r="A7" t="str">
        <f t="shared" si="0"/>
        <v>B3_StatusQuo_Targets|FY2026</v>
      </c>
      <c r="B7" t="str">
        <f>Scenarios!A4</f>
        <v>B3_StatusQuo_Targets</v>
      </c>
      <c r="C7" t="s">
        <v>187</v>
      </c>
      <c r="D7">
        <f>IF(Scenarios!D4=1,0, L7)</f>
        <v>270</v>
      </c>
      <c r="E7">
        <f>IF(Scenarios!E4=1,0, M7)</f>
        <v>308</v>
      </c>
      <c r="F7">
        <f t="shared" si="1"/>
        <v>578</v>
      </c>
      <c r="G7" s="2">
        <f>YearMap!B2</f>
        <v>8403.3633363471963</v>
      </c>
      <c r="H7" s="2">
        <f>YearMap!C2</f>
        <v>922499.99999999988</v>
      </c>
      <c r="I7" s="2">
        <f>YearMap!D2</f>
        <v>999374.99999999988</v>
      </c>
      <c r="J7">
        <f>1-BaselineCalc!$B$5</f>
        <v>0.99299999999999999</v>
      </c>
      <c r="K7">
        <f>Scenarios!G4</f>
        <v>0</v>
      </c>
      <c r="L7">
        <f>IF(Scenarios!$Q4=1,BaselineCalc!$B$7*(1+Parameters_Public!$C44)^(IF($C7="FY2026",0,IF($C7="FY2027",1,IF($C7="FY2028",2,IF($C7="FY2029",3,IF($C7="FY2030",4,0))))))+ROUND(Scenarios!I4*Scenarios!$F4,0),BaselineCalc!$B$7+ROUND(Scenarios!I4*Scenarios!$F4,0))</f>
        <v>270</v>
      </c>
      <c r="M7">
        <f>IF(Scenarios!$R4=1,BaselineCalc!$B$8*(1+Parameters_Public!$C45)^(IF($C7="FY2026",0,IF($C7="FY2027",1,IF($C7="FY2028",2,IF($C7="FY2029",3,IF($C7="FY2030",4,0))))))+Scenarios!I4-ROUND(Scenarios!I4*Scenarios!$F4,0),BaselineCalc!$B$8+Scenarios!I4-ROUND(Scenarios!I4*Scenarios!$F4,0))</f>
        <v>308</v>
      </c>
      <c r="N7" s="11">
        <f t="shared" si="2"/>
        <v>0</v>
      </c>
      <c r="O7" s="11">
        <f>(Parameters_Public!$C$23*(L7-D7)+Parameters_Public!$C$24*(M7-E7))</f>
        <v>0</v>
      </c>
      <c r="P7">
        <f>YearMap!E2</f>
        <v>1000</v>
      </c>
      <c r="Q7">
        <f>IF(Scenarios!N4="lease", YearMap!F2, YearMap!G2)</f>
        <v>0.75</v>
      </c>
      <c r="R7" s="2">
        <f>IF(Scenarios!D4=1, Q7*H7, H7)</f>
        <v>922499.99999999988</v>
      </c>
      <c r="S7" s="2">
        <f>IF(Scenarios!E4=1, Q7*I7, I7)</f>
        <v>999374.99999999988</v>
      </c>
      <c r="T7" s="2">
        <f>IF(C7="FY2026", (Scenarios!D4+Scenarios!E4)*BaselineCalc!$B$22, 0)</f>
        <v>0</v>
      </c>
      <c r="U7" s="2">
        <f t="shared" si="3"/>
        <v>6731565.8753498187</v>
      </c>
      <c r="V7" s="2">
        <f t="shared" si="4"/>
        <v>0</v>
      </c>
      <c r="W7" s="2">
        <f>U7+V7+IF(Parameters_Public!$C$28=1, T7, 0)</f>
        <v>6731565.8753498187</v>
      </c>
      <c r="X7" s="2">
        <f t="shared" si="5"/>
        <v>11646.307742819756</v>
      </c>
      <c r="Y7" s="2">
        <f>INDEX(YearMap!$I$2:$I$6, MATCH(C7, YearMap!$A$2:$A$6, 0))</f>
        <v>5013</v>
      </c>
      <c r="Z7" s="2">
        <f>W7 - ((Y7 + IF(Parameters_Public!$C$20=1, Parameters_Public!$C$19, 0))*AC7)</f>
        <v>3399424.7753498186</v>
      </c>
      <c r="AA7" s="2">
        <f t="shared" si="6"/>
        <v>5881.357742819755</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(1-Parameters_Public!$C$43)*$G7*$AB7*$J7*(1-$K7)) + AB7*INDEX(YearMap!$Q$2:$Q$6, MATCH(C7, YearMap!$A$2:$A$6, 0))</f>
        <v>6653120.4774198914</v>
      </c>
      <c r="AF7" s="2">
        <f t="shared" si="8"/>
        <v>-334879.37741989177</v>
      </c>
      <c r="AG7" t="str">
        <f t="shared" si="9"/>
        <v>B3_StatusQuo_Targets|FY2026</v>
      </c>
    </row>
    <row r="8" spans="1:33" x14ac:dyDescent="0.35">
      <c r="A8" t="str">
        <f t="shared" si="0"/>
        <v>B3_StatusQuo_Targets|FY2027</v>
      </c>
      <c r="B8" t="str">
        <f>Scenarios!A4</f>
        <v>B3_StatusQuo_Targets</v>
      </c>
      <c r="C8" t="s">
        <v>188</v>
      </c>
      <c r="D8">
        <f>IF(Scenarios!D4=1,0, L8)</f>
        <v>282</v>
      </c>
      <c r="E8">
        <f>IF(Scenarios!E4=1,0, M8)</f>
        <v>321</v>
      </c>
      <c r="F8">
        <f t="shared" si="1"/>
        <v>603</v>
      </c>
      <c r="G8" s="2">
        <f>YearMap!B3</f>
        <v>8613.4474197558757</v>
      </c>
      <c r="H8" s="2">
        <f>YearMap!C3</f>
        <v>915497.14624773955</v>
      </c>
      <c r="I8" s="2">
        <f>YearMap!D3</f>
        <v>1054424.7287522603</v>
      </c>
      <c r="J8">
        <f>1-BaselineCalc!$B$5</f>
        <v>0.99299999999999999</v>
      </c>
      <c r="K8">
        <f>Scenarios!G4</f>
        <v>0</v>
      </c>
      <c r="L8">
        <f>IF(Scenarios!$Q4=1,BaselineCalc!$B$7*(1+Parameters_Public!$C44)^(IF($C8="FY2026",0,IF($C8="FY2027",1,IF($C8="FY2028",2,IF($C8="FY2029",3,IF($C8="FY2030",4,0))))))+ROUND(Scenarios!J4*Scenarios!$F4,0),BaselineCalc!$B$7+ROUND(Scenarios!J4*Scenarios!$F4,0))</f>
        <v>282</v>
      </c>
      <c r="M8">
        <f>IF(Scenarios!$R4=1,BaselineCalc!$B$8*(1+Parameters_Public!$C45)^(IF($C8="FY2026",0,IF($C8="FY2027",1,IF($C8="FY2028",2,IF($C8="FY2029",3,IF($C8="FY2030",4,0))))))+Scenarios!J4-ROUND(Scenarios!J4*Scenarios!$F4,0),BaselineCalc!$B$8+Scenarios!J4-ROUND(Scenarios!J4*Scenarios!$F4,0))</f>
        <v>321</v>
      </c>
      <c r="N8" s="11">
        <f t="shared" si="2"/>
        <v>0</v>
      </c>
      <c r="O8" s="11">
        <f>(Parameters_Public!$C$23*(L8-D8)+Parameters_Public!$C$24*(M8-E8))</f>
        <v>0</v>
      </c>
      <c r="P8">
        <f>YearMap!E3</f>
        <v>800</v>
      </c>
      <c r="Q8">
        <f>IF(Scenarios!N4="lease", YearMap!F3, YearMap!G3)</f>
        <v>0.7</v>
      </c>
      <c r="R8" s="2">
        <f>IF(Scenarios!D4=1, Q8*H8, H8)</f>
        <v>915497.14624773955</v>
      </c>
      <c r="S8" s="2">
        <f>IF(Scenarios!E4=1, Q8*I8, I8)</f>
        <v>1054424.7287522603</v>
      </c>
      <c r="T8" s="2">
        <f>IF(C8="FY2026", (Scenarios!D4+Scenarios!E4)*BaselineCalc!$B$22, 0)</f>
        <v>0</v>
      </c>
      <c r="U8" s="2">
        <f t="shared" si="3"/>
        <v>7113683.8544290038</v>
      </c>
      <c r="V8" s="2">
        <f t="shared" si="4"/>
        <v>0</v>
      </c>
      <c r="W8" s="2">
        <f>U8+V8+IF(Parameters_Public!$C$28=1, T8, 0)</f>
        <v>7113683.8544290038</v>
      </c>
      <c r="X8" s="2">
        <f t="shared" si="5"/>
        <v>11797.153987444452</v>
      </c>
      <c r="Y8" s="2">
        <f>INDEX(YearMap!$I$2:$I$6, MATCH(C8, YearMap!$A$2:$A$6, 0))</f>
        <v>5138.3249999999998</v>
      </c>
      <c r="Z8" s="2">
        <f>W8 - ((Y8 + IF(Parameters_Public!$C$20=1, Parameters_Public!$C$19, 0))*AC8)</f>
        <v>3561848.0294290041</v>
      </c>
      <c r="AA8" s="2">
        <f t="shared" si="6"/>
        <v>5906.878987444451</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(1-Parameters_Public!$C$43)*$G8*$AB8*$J8*(1-$K8)) + AB8*INDEX(YearMap!$Q$2:$Q$6, MATCH(C8, YearMap!$A$2:$A$6, 0))</f>
        <v>6950620.7886726521</v>
      </c>
      <c r="AF8" s="2">
        <f t="shared" si="8"/>
        <v>-213434.31742265262</v>
      </c>
      <c r="AG8" t="str">
        <f t="shared" si="9"/>
        <v>B3_StatusQuo_Targets|FY2027</v>
      </c>
    </row>
    <row r="9" spans="1:33" x14ac:dyDescent="0.35">
      <c r="A9" t="str">
        <f t="shared" si="0"/>
        <v>B3_StatusQuo_Targets|FY2028</v>
      </c>
      <c r="B9" t="str">
        <f>Scenarios!A4</f>
        <v>B3_StatusQuo_Targets</v>
      </c>
      <c r="C9" t="s">
        <v>189</v>
      </c>
      <c r="D9">
        <f>IF(Scenarios!D4=1,0, L9)</f>
        <v>295</v>
      </c>
      <c r="E9">
        <f>IF(Scenarios!E4=1,0, M9)</f>
        <v>333</v>
      </c>
      <c r="F9">
        <f t="shared" si="1"/>
        <v>628</v>
      </c>
      <c r="G9" s="2">
        <f>YearMap!B4</f>
        <v>8828.7836052497714</v>
      </c>
      <c r="H9" s="2">
        <f>YearMap!C4</f>
        <v>938384.57490393298</v>
      </c>
      <c r="I9" s="2">
        <f>YearMap!D4</f>
        <v>1080785.3469710669</v>
      </c>
      <c r="J9">
        <f>1-BaselineCalc!$B$5</f>
        <v>0.99299999999999999</v>
      </c>
      <c r="K9">
        <f>Scenarios!G4</f>
        <v>0</v>
      </c>
      <c r="L9">
        <f>IF(Scenarios!$Q4=1,BaselineCalc!$B$7*(1+Parameters_Public!$C44)^(IF($C9="FY2026",0,IF($C9="FY2027",1,IF($C9="FY2028",2,IF($C9="FY2029",3,IF($C9="FY2030",4,0))))))+ROUND(Scenarios!K4*Scenarios!$F4,0),BaselineCalc!$B$7+ROUND(Scenarios!K4*Scenarios!$F4,0))</f>
        <v>295</v>
      </c>
      <c r="M9">
        <f>IF(Scenarios!$R4=1,BaselineCalc!$B$8*(1+Parameters_Public!$C45)^(IF($C9="FY2026",0,IF($C9="FY2027",1,IF($C9="FY2028",2,IF($C9="FY2029",3,IF($C9="FY2030",4,0))))))+Scenarios!K4-ROUND(Scenarios!K4*Scenarios!$F4,0),BaselineCalc!$B$8+Scenarios!K4-ROUND(Scenarios!K4*Scenarios!$F4,0))</f>
        <v>333</v>
      </c>
      <c r="N9" s="11">
        <f t="shared" si="2"/>
        <v>0</v>
      </c>
      <c r="O9" s="11">
        <f>(Parameters_Public!$C$23*(L9-D9)+Parameters_Public!$C$24*(M9-E9))</f>
        <v>0</v>
      </c>
      <c r="P9">
        <f>YearMap!E4</f>
        <v>600</v>
      </c>
      <c r="Q9">
        <f>IF(Scenarios!N4="lease", YearMap!F4, YearMap!G4)</f>
        <v>0.65</v>
      </c>
      <c r="R9" s="2">
        <f>IF(Scenarios!D4=1, Q9*H9, H9)</f>
        <v>938384.57490393298</v>
      </c>
      <c r="S9" s="2">
        <f>IF(Scenarios!E4=1, Q9*I9, I9)</f>
        <v>1080785.3469710669</v>
      </c>
      <c r="T9" s="2">
        <f>IF(C9="FY2026", (Scenarios!D4+Scenarios!E4)*BaselineCalc!$B$22, 0)</f>
        <v>0</v>
      </c>
      <c r="U9" s="2">
        <f t="shared" si="3"/>
        <v>7510700.5037900535</v>
      </c>
      <c r="V9" s="2">
        <f t="shared" si="4"/>
        <v>0</v>
      </c>
      <c r="W9" s="2">
        <f>U9+V9+IF(Parameters_Public!$C$28=1, T9, 0)</f>
        <v>7510700.5037900535</v>
      </c>
      <c r="X9" s="2">
        <f t="shared" si="5"/>
        <v>11959.714178009639</v>
      </c>
      <c r="Y9" s="2">
        <f>INDEX(YearMap!$I$2:$I$6, MATCH(C9, YearMap!$A$2:$A$6, 0))</f>
        <v>5266.7831249999999</v>
      </c>
      <c r="Z9" s="2">
        <f>W9 - ((Y9 + IF(Parameters_Public!$C$20=1, Parameters_Public!$C$19, 0))*AC9)</f>
        <v>3730936.1012900537</v>
      </c>
      <c r="AA9" s="2">
        <f t="shared" si="6"/>
        <v>5940.9810530096393</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(1-Parameters_Public!$C$43)*$G9*$AB9*$J9*(1-$K9)) + AB9*INDEX(YearMap!$Q$2:$Q$6, MATCH(C9, YearMap!$A$2:$A$6, 0))</f>
        <v>7256691.0401896629</v>
      </c>
      <c r="AF9" s="2">
        <f t="shared" si="8"/>
        <v>-83560.829814663157</v>
      </c>
      <c r="AG9" t="str">
        <f t="shared" si="9"/>
        <v>B3_StatusQuo_Targets|FY2028</v>
      </c>
    </row>
    <row r="10" spans="1:33" x14ac:dyDescent="0.35">
      <c r="A10" t="str">
        <f t="shared" si="0"/>
        <v>B3_StatusQuo_Targets|FY2029</v>
      </c>
      <c r="B10" t="str">
        <f>Scenarios!A4</f>
        <v>B3_StatusQuo_Targets</v>
      </c>
      <c r="C10" t="s">
        <v>190</v>
      </c>
      <c r="D10">
        <f>IF(Scenarios!D4=1,0, L10)</f>
        <v>295</v>
      </c>
      <c r="E10">
        <f>IF(Scenarios!E4=1,0, M10)</f>
        <v>333</v>
      </c>
      <c r="F10">
        <f t="shared" si="1"/>
        <v>628</v>
      </c>
      <c r="G10" s="2">
        <f>YearMap!B5</f>
        <v>9049.5031953810158</v>
      </c>
      <c r="H10" s="2">
        <f>YearMap!C5</f>
        <v>961844.18927653122</v>
      </c>
      <c r="I10" s="2">
        <f>YearMap!D5</f>
        <v>1107804.9806453434</v>
      </c>
      <c r="J10">
        <f>1-BaselineCalc!$B$5</f>
        <v>0.99299999999999999</v>
      </c>
      <c r="K10">
        <f>Scenarios!G4</f>
        <v>0</v>
      </c>
      <c r="L10">
        <f>IF(Scenarios!$Q4=1,BaselineCalc!$B$7*(1+Parameters_Public!$C44)^(IF($C10="FY2026",0,IF($C10="FY2027",1,IF($C10="FY2028",2,IF($C10="FY2029",3,IF($C10="FY2030",4,0))))))+ROUND(Scenarios!L4*Scenarios!$F4,0),BaselineCalc!$B$7+ROUND(Scenarios!L4*Scenarios!$F4,0))</f>
        <v>295</v>
      </c>
      <c r="M10">
        <f>IF(Scenarios!$R4=1,BaselineCalc!$B$8*(1+Parameters_Public!$C45)^(IF($C10="FY2026",0,IF($C10="FY2027",1,IF($C10="FY2028",2,IF($C10="FY2029",3,IF($C10="FY2030",4,0))))))+Scenarios!L4-ROUND(Scenarios!L4*Scenarios!$F4,0),BaselineCalc!$B$8+Scenarios!L4-ROUND(Scenarios!L4*Scenarios!$F4,0))</f>
        <v>333</v>
      </c>
      <c r="N10" s="11">
        <f t="shared" si="2"/>
        <v>0</v>
      </c>
      <c r="O10" s="11">
        <f>(Parameters_Public!$C$23*(L10-D10)+Parameters_Public!$C$24*(M10-E10))</f>
        <v>0</v>
      </c>
      <c r="P10">
        <f>YearMap!E5</f>
        <v>500</v>
      </c>
      <c r="Q10">
        <f>IF(Scenarios!N4="lease", YearMap!F5, YearMap!G5)</f>
        <v>0.6</v>
      </c>
      <c r="R10" s="2">
        <f>IF(Scenarios!D4=1, Q10*H10, H10)</f>
        <v>961844.18927653122</v>
      </c>
      <c r="S10" s="2">
        <f>IF(Scenarios!E4=1, Q10*I10, I10)</f>
        <v>1107804.9806453434</v>
      </c>
      <c r="T10" s="2">
        <f>IF(C10="FY2026", (Scenarios!D4+Scenarios!E4)*BaselineCalc!$B$22, 0)</f>
        <v>0</v>
      </c>
      <c r="U10" s="2">
        <f t="shared" si="3"/>
        <v>7698468.0163848037</v>
      </c>
      <c r="V10" s="2">
        <f t="shared" si="4"/>
        <v>0</v>
      </c>
      <c r="W10" s="2">
        <f>U10+V10+IF(Parameters_Public!$C$28=1, T10, 0)</f>
        <v>7698468.0163848037</v>
      </c>
      <c r="X10" s="2">
        <f t="shared" si="5"/>
        <v>12258.707032459879</v>
      </c>
      <c r="Y10" s="2">
        <f>INDEX(YearMap!$I$2:$I$6, MATCH(C10, YearMap!$A$2:$A$6, 0))</f>
        <v>5398.4527031249991</v>
      </c>
      <c r="Z10" s="2">
        <f>W10 - ((Y10 + IF(Parameters_Public!$C$20=1, Parameters_Public!$C$19, 0))*AC10)</f>
        <v>3836015.1188223045</v>
      </c>
      <c r="AA10" s="2">
        <f t="shared" si="6"/>
        <v>6108.3043293348801</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(1-Parameters_Public!$C$43)*$G10*$AB10*$J10*(1-$K10)) + AB10*INDEX(YearMap!$Q$2:$Q$6, MATCH(C10, YearMap!$A$2:$A$6, 0))</f>
        <v>7436383.316194403</v>
      </c>
      <c r="AF10" s="2">
        <f t="shared" si="8"/>
        <v>-83924.850560029037</v>
      </c>
      <c r="AG10" t="str">
        <f t="shared" si="9"/>
        <v>B3_StatusQuo_Targets|FY2029</v>
      </c>
    </row>
    <row r="11" spans="1:33" x14ac:dyDescent="0.35">
      <c r="A11" t="str">
        <f t="shared" si="0"/>
        <v>B3_StatusQuo_Targets|FY2030</v>
      </c>
      <c r="B11" t="str">
        <f>Scenarios!A4</f>
        <v>B3_StatusQuo_Targets</v>
      </c>
      <c r="C11" t="s">
        <v>102</v>
      </c>
      <c r="D11">
        <f>IF(Scenarios!D4=1,0, L11)</f>
        <v>295</v>
      </c>
      <c r="E11">
        <f>IF(Scenarios!E4=1,0, M11)</f>
        <v>333</v>
      </c>
      <c r="F11">
        <f t="shared" si="1"/>
        <v>628</v>
      </c>
      <c r="G11" s="2">
        <f>YearMap!B6</f>
        <v>9275.7407752655399</v>
      </c>
      <c r="H11" s="2">
        <f>YearMap!C6</f>
        <v>985890.29400844453</v>
      </c>
      <c r="I11" s="2">
        <f>YearMap!D6</f>
        <v>1135500.1051614769</v>
      </c>
      <c r="J11">
        <f>1-BaselineCalc!$B$5</f>
        <v>0.99299999999999999</v>
      </c>
      <c r="K11">
        <f>Scenarios!G4</f>
        <v>0</v>
      </c>
      <c r="L11">
        <f>IF(Scenarios!$Q4=1,BaselineCalc!$B$7*(1+Parameters_Public!$C44)^(IF($C11="FY2026",0,IF($C11="FY2027",1,IF($C11="FY2028",2,IF($C11="FY2029",3,IF($C11="FY2030",4,0))))))+ROUND(Scenarios!M4*Scenarios!$F4,0),BaselineCalc!$B$7+ROUND(Scenarios!M4*Scenarios!$F4,0))</f>
        <v>295</v>
      </c>
      <c r="M11">
        <f>IF(Scenarios!$R4=1,BaselineCalc!$B$8*(1+Parameters_Public!$C45)^(IF($C11="FY2026",0,IF($C11="FY2027",1,IF($C11="FY2028",2,IF($C11="FY2029",3,IF($C11="FY2030",4,0))))))+Scenarios!M4-ROUND(Scenarios!M4*Scenarios!$F4,0),BaselineCalc!$B$8+Scenarios!M4-ROUND(Scenarios!M4*Scenarios!$F4,0))</f>
        <v>333</v>
      </c>
      <c r="N11" s="11">
        <f t="shared" si="2"/>
        <v>0</v>
      </c>
      <c r="O11" s="11">
        <f>(Parameters_Public!$C$23*(L11-D11)+Parameters_Public!$C$24*(M11-E11))</f>
        <v>0</v>
      </c>
      <c r="P11">
        <f>YearMap!E6</f>
        <v>300</v>
      </c>
      <c r="Q11">
        <f>IF(Scenarios!N4="lease", YearMap!F6, YearMap!G6)</f>
        <v>0.6</v>
      </c>
      <c r="R11" s="2">
        <f>IF(Scenarios!D4=1, Q11*H11, H11)</f>
        <v>985890.29400844453</v>
      </c>
      <c r="S11" s="2">
        <f>IF(Scenarios!E4=1, Q11*I11, I11)</f>
        <v>1135500.1051614769</v>
      </c>
      <c r="T11" s="2">
        <f>IF(C11="FY2026", (Scenarios!D4+Scenarios!E4)*BaselineCalc!$B$22, 0)</f>
        <v>0</v>
      </c>
      <c r="U11" s="2">
        <f t="shared" si="3"/>
        <v>7890929.7167944228</v>
      </c>
      <c r="V11" s="2">
        <f t="shared" si="4"/>
        <v>0</v>
      </c>
      <c r="W11" s="2">
        <f>U11+V11+IF(Parameters_Public!$C$28=1, T11, 0)</f>
        <v>7890929.7167944228</v>
      </c>
      <c r="X11" s="2">
        <f t="shared" si="5"/>
        <v>12565.174708271374</v>
      </c>
      <c r="Y11" s="2">
        <f>INDEX(YearMap!$I$2:$I$6, MATCH(C11, YearMap!$A$2:$A$6, 0))</f>
        <v>5533.4140207031242</v>
      </c>
      <c r="Z11" s="2">
        <f>W11 - ((Y11 + IF(Parameters_Public!$C$20=1, Parameters_Public!$C$19, 0))*AC11)</f>
        <v>3943721.111792861</v>
      </c>
      <c r="AA11" s="2">
        <f t="shared" si="6"/>
        <v>6279.8106875682497</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(1-Parameters_Public!$C$43)*$G11*$AB11*$J11*(1-$K11)) + AB11*INDEX(YearMap!$Q$2:$Q$6, MATCH(C11, YearMap!$A$2:$A$6, 0))</f>
        <v>7619105.3990992624</v>
      </c>
      <c r="AF11" s="2">
        <f t="shared" si="8"/>
        <v>-82835.471824029461</v>
      </c>
      <c r="AG11" t="str">
        <f t="shared" si="9"/>
        <v>B3_StatusQuo_Targets|FY2030</v>
      </c>
    </row>
    <row r="12" spans="1:33" x14ac:dyDescent="0.35">
      <c r="A12" t="str">
        <f t="shared" si="0"/>
        <v>C2_CoLocation_Echo_Targets|FY2026</v>
      </c>
      <c r="B12" t="str">
        <f>Scenarios!A5</f>
        <v>C2_CoLocation_Echo_Targets</v>
      </c>
      <c r="C12" t="s">
        <v>187</v>
      </c>
      <c r="D12">
        <f>IF(Scenarios!D5=1,0, L12)</f>
        <v>265</v>
      </c>
      <c r="E12">
        <f>IF(Scenarios!E5=1,0, M12)</f>
        <v>304.66666666666669</v>
      </c>
      <c r="F12">
        <f t="shared" si="1"/>
        <v>569.66666666666674</v>
      </c>
      <c r="G12" s="2">
        <f>YearMap!B2</f>
        <v>8403.3633363471963</v>
      </c>
      <c r="H12" s="2">
        <f>YearMap!C2</f>
        <v>922499.99999999988</v>
      </c>
      <c r="I12" s="2">
        <f>YearMap!D2</f>
        <v>999374.99999999988</v>
      </c>
      <c r="J12">
        <f>1-BaselineCalc!$B$5</f>
        <v>0.99299999999999999</v>
      </c>
      <c r="K12">
        <f>Scenarios!G5</f>
        <v>0.05</v>
      </c>
      <c r="L12">
        <f>IF(Scenarios!$Q5=1,BaselineCalc!$B$7*(1+Parameters_Public!$C44)^(IF($C12="FY2026",0,IF($C12="FY2027",1,IF($C12="FY2028",2,IF($C12="FY2029",3,IF($C12="FY2030",4,0))))))+ROUND(Scenarios!I5*Scenarios!$F5,0),BaselineCalc!$B$7+ROUND(Scenarios!I5*Scenarios!$F5,0))</f>
        <v>265</v>
      </c>
      <c r="M12">
        <f>IF(Scenarios!$R5=1,BaselineCalc!$B$8*(1+Parameters_Public!$C45)^(IF($C12="FY2026",0,IF($C12="FY2027",1,IF($C12="FY2028",2,IF($C12="FY2029",3,IF($C12="FY2030",4,0))))))+Scenarios!I5-ROUND(Scenarios!I5*Scenarios!$F5,0),BaselineCalc!$B$8+Scenarios!I5-ROUND(Scenarios!I5*Scenarios!$F5,0))</f>
        <v>304.66666666666669</v>
      </c>
      <c r="N12" s="11">
        <f t="shared" si="2"/>
        <v>0</v>
      </c>
      <c r="O12" s="11">
        <f>(Parameters_Public!$C$23*(L12-D12)+Parameters_Public!$C$24*(M12-E12))</f>
        <v>0</v>
      </c>
      <c r="P12">
        <f>YearMap!E2</f>
        <v>1000</v>
      </c>
      <c r="Q12">
        <f>IF(Scenarios!N5="lease", YearMap!F2, YearMap!G2)</f>
        <v>0.75</v>
      </c>
      <c r="R12" s="2">
        <f>IF(Scenarios!D5=1, Q12*H12, H12)</f>
        <v>922499.99999999988</v>
      </c>
      <c r="S12" s="2">
        <f>IF(Scenarios!E5=1, Q12*I12, I12)</f>
        <v>999374.99999999988</v>
      </c>
      <c r="T12" s="2">
        <f>IF(C12="FY2026", (Scenarios!D5+Scenarios!E5)*BaselineCalc!$B$22, 0)</f>
        <v>0</v>
      </c>
      <c r="U12" s="2">
        <f t="shared" si="3"/>
        <v>6328926.6415544692</v>
      </c>
      <c r="V12" s="2">
        <f t="shared" si="4"/>
        <v>0</v>
      </c>
      <c r="W12" s="2">
        <f>U12+V12+IF(Parameters_Public!$C$28=1, T12, 0)</f>
        <v>6328926.6415544692</v>
      </c>
      <c r="X12" s="2">
        <f t="shared" si="5"/>
        <v>11109.877077041197</v>
      </c>
      <c r="Y12" s="2">
        <f>INDEX(YearMap!$I$2:$I$6, MATCH(C12, YearMap!$A$2:$A$6, 0))</f>
        <v>5013</v>
      </c>
      <c r="Z12" s="2">
        <f>W12 - ((Y12 + IF(Parameters_Public!$C$20=1, Parameters_Public!$C$19, 0))*AC12)</f>
        <v>3044826.7915544687</v>
      </c>
      <c r="AA12" s="2">
        <f t="shared" si="6"/>
        <v>5344.9270770411968</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(1-Parameters_Public!$C$43)*$G12*$AB12*$J12*(1-$K12)) + AB12*INDEX(YearMap!$Q$2:$Q$6, MATCH(C12, YearMap!$A$2:$A$6, 0))</f>
        <v>6279411.2228655145</v>
      </c>
      <c r="AF12" s="2">
        <f t="shared" si="8"/>
        <v>-46044.706198846921</v>
      </c>
      <c r="AG12" t="str">
        <f t="shared" si="9"/>
        <v>C2_CoLocation_Echo_Targets|FY2026</v>
      </c>
    </row>
    <row r="13" spans="1:33" x14ac:dyDescent="0.35">
      <c r="A13" t="str">
        <f t="shared" si="0"/>
        <v>C2_CoLocation_Echo_Targets|FY2027</v>
      </c>
      <c r="B13" t="str">
        <f>Scenarios!A5</f>
        <v>C2_CoLocation_Echo_Targets</v>
      </c>
      <c r="C13" t="s">
        <v>188</v>
      </c>
      <c r="D13">
        <f>IF(Scenarios!D5=1,0, L13)</f>
        <v>274</v>
      </c>
      <c r="E13">
        <f>IF(Scenarios!E5=1,0, M13)</f>
        <v>312.33333333333331</v>
      </c>
      <c r="F13">
        <f t="shared" si="1"/>
        <v>586.33333333333326</v>
      </c>
      <c r="G13" s="2">
        <f>YearMap!B3</f>
        <v>8613.4474197558757</v>
      </c>
      <c r="H13" s="2">
        <f>YearMap!C3</f>
        <v>915497.14624773955</v>
      </c>
      <c r="I13" s="2">
        <f>YearMap!D3</f>
        <v>1054424.7287522603</v>
      </c>
      <c r="J13">
        <f>1-BaselineCalc!$B$5</f>
        <v>0.99299999999999999</v>
      </c>
      <c r="K13">
        <f>Scenarios!G5</f>
        <v>0.05</v>
      </c>
      <c r="L13">
        <f>IF(Scenarios!$Q5=1,BaselineCalc!$B$7*(1+Parameters_Public!$C44)^(IF($C13="FY2026",0,IF($C13="FY2027",1,IF($C13="FY2028",2,IF($C13="FY2029",3,IF($C13="FY2030",4,0))))))+ROUND(Scenarios!J5*Scenarios!$F5,0),BaselineCalc!$B$7+ROUND(Scenarios!J5*Scenarios!$F5,0))</f>
        <v>274</v>
      </c>
      <c r="M13">
        <f>IF(Scenarios!$R5=1,BaselineCalc!$B$8*(1+Parameters_Public!$C45)^(IF($C13="FY2026",0,IF($C13="FY2027",1,IF($C13="FY2028",2,IF($C13="FY2029",3,IF($C13="FY2030",4,0))))))+Scenarios!J5-ROUND(Scenarios!J5*Scenarios!$F5,0),BaselineCalc!$B$8+Scenarios!J5-ROUND(Scenarios!J5*Scenarios!$F5,0))</f>
        <v>312.33333333333331</v>
      </c>
      <c r="N13" s="11">
        <f t="shared" si="2"/>
        <v>0</v>
      </c>
      <c r="O13" s="11">
        <f>(Parameters_Public!$C$23*(L13-D13)+Parameters_Public!$C$24*(M13-E13))</f>
        <v>0</v>
      </c>
      <c r="P13">
        <f>YearMap!E3</f>
        <v>800</v>
      </c>
      <c r="Q13">
        <f>IF(Scenarios!N5="lease", YearMap!F3, YearMap!G3)</f>
        <v>0.7</v>
      </c>
      <c r="R13" s="2">
        <f>IF(Scenarios!D5=1, Q13*H13, H13)</f>
        <v>915497.14624773955</v>
      </c>
      <c r="S13" s="2">
        <f>IF(Scenarios!E5=1, Q13*I13, I13)</f>
        <v>1054424.7287522603</v>
      </c>
      <c r="T13" s="2">
        <f>IF(C13="FY2026", (Scenarios!D5+Scenarios!E5)*BaselineCalc!$B$22, 0)</f>
        <v>0</v>
      </c>
      <c r="U13" s="2">
        <f t="shared" si="3"/>
        <v>6622574.7346504405</v>
      </c>
      <c r="V13" s="2">
        <f t="shared" si="4"/>
        <v>0</v>
      </c>
      <c r="W13" s="2">
        <f>U13+V13+IF(Parameters_Public!$C$28=1, T13, 0)</f>
        <v>6622574.7346504405</v>
      </c>
      <c r="X13" s="2">
        <f t="shared" si="5"/>
        <v>11294.897216572668</v>
      </c>
      <c r="Y13" s="2">
        <f>INDEX(YearMap!$I$2:$I$6, MATCH(C13, YearMap!$A$2:$A$6, 0))</f>
        <v>5138.3249999999998</v>
      </c>
      <c r="Z13" s="2">
        <f>W13 - ((Y13 + IF(Parameters_Public!$C$20=1, Parameters_Public!$C$19, 0))*AC13)</f>
        <v>3168910.1596504413</v>
      </c>
      <c r="AA13" s="2">
        <f t="shared" si="6"/>
        <v>5404.6222165726695</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(1-Parameters_Public!$C$43)*$G13*$AB13*$J13*(1-$K13)) + AB13*INDEX(YearMap!$Q$2:$Q$6, MATCH(C13, YearMap!$A$2:$A$6, 0))</f>
        <v>6519568.1263380842</v>
      </c>
      <c r="AF13" s="2">
        <f t="shared" si="8"/>
        <v>43625.449078581296</v>
      </c>
      <c r="AG13" t="str">
        <f t="shared" si="9"/>
        <v>C2_CoLocation_Echo_Targets|FY2027</v>
      </c>
    </row>
    <row r="14" spans="1:33" x14ac:dyDescent="0.35">
      <c r="A14" t="str">
        <f t="shared" si="0"/>
        <v>C2_CoLocation_Echo_Targets|FY2028</v>
      </c>
      <c r="B14" t="str">
        <f>Scenarios!A5</f>
        <v>C2_CoLocation_Echo_Targets</v>
      </c>
      <c r="C14" t="s">
        <v>189</v>
      </c>
      <c r="D14">
        <f>IF(Scenarios!D5=1,0, L14)</f>
        <v>282</v>
      </c>
      <c r="E14">
        <f>IF(Scenarios!E5=1,0, M14)</f>
        <v>321</v>
      </c>
      <c r="F14">
        <f t="shared" si="1"/>
        <v>603</v>
      </c>
      <c r="G14" s="2">
        <f>YearMap!B4</f>
        <v>8828.7836052497714</v>
      </c>
      <c r="H14" s="2">
        <f>YearMap!C4</f>
        <v>938384.57490393298</v>
      </c>
      <c r="I14" s="2">
        <f>YearMap!D4</f>
        <v>1080785.3469710669</v>
      </c>
      <c r="J14">
        <f>1-BaselineCalc!$B$5</f>
        <v>0.99299999999999999</v>
      </c>
      <c r="K14">
        <f>Scenarios!G5</f>
        <v>0.05</v>
      </c>
      <c r="L14">
        <f>IF(Scenarios!$Q5=1,BaselineCalc!$B$7*(1+Parameters_Public!$C44)^(IF($C14="FY2026",0,IF($C14="FY2027",1,IF($C14="FY2028",2,IF($C14="FY2029",3,IF($C14="FY2030",4,0))))))+ROUND(Scenarios!K5*Scenarios!$F5,0),BaselineCalc!$B$7+ROUND(Scenarios!K5*Scenarios!$F5,0))</f>
        <v>282</v>
      </c>
      <c r="M14">
        <f>IF(Scenarios!$R5=1,BaselineCalc!$B$8*(1+Parameters_Public!$C45)^(IF($C14="FY2026",0,IF($C14="FY2027",1,IF($C14="FY2028",2,IF($C14="FY2029",3,IF($C14="FY2030",4,0))))))+Scenarios!K5-ROUND(Scenarios!K5*Scenarios!$F5,0),BaselineCalc!$B$8+Scenarios!K5-ROUND(Scenarios!K5*Scenarios!$F5,0))</f>
        <v>321</v>
      </c>
      <c r="N14" s="11">
        <f t="shared" si="2"/>
        <v>0</v>
      </c>
      <c r="O14" s="11">
        <f>(Parameters_Public!$C$23*(L14-D14)+Parameters_Public!$C$24*(M14-E14))</f>
        <v>0</v>
      </c>
      <c r="P14">
        <f>YearMap!E4</f>
        <v>600</v>
      </c>
      <c r="Q14">
        <f>IF(Scenarios!N5="lease", YearMap!F4, YearMap!G4)</f>
        <v>0.65</v>
      </c>
      <c r="R14" s="2">
        <f>IF(Scenarios!D5=1, Q14*H14, H14)</f>
        <v>938384.57490393298</v>
      </c>
      <c r="S14" s="2">
        <f>IF(Scenarios!E5=1, Q14*I14, I14)</f>
        <v>1080785.3469710669</v>
      </c>
      <c r="T14" s="2">
        <f>IF(C14="FY2026", (Scenarios!D5+Scenarios!E5)*BaselineCalc!$B$22, 0)</f>
        <v>0</v>
      </c>
      <c r="U14" s="2">
        <f t="shared" si="3"/>
        <v>6926949.6532502417</v>
      </c>
      <c r="V14" s="2">
        <f t="shared" si="4"/>
        <v>0</v>
      </c>
      <c r="W14" s="2">
        <f>U14+V14+IF(Parameters_Public!$C$28=1, T14, 0)</f>
        <v>6926949.6532502417</v>
      </c>
      <c r="X14" s="2">
        <f t="shared" si="5"/>
        <v>11487.478695274032</v>
      </c>
      <c r="Y14" s="2">
        <f>INDEX(YearMap!$I$2:$I$6, MATCH(C14, YearMap!$A$2:$A$6, 0))</f>
        <v>5266.7831249999999</v>
      </c>
      <c r="Z14" s="2">
        <f>W14 - ((Y14 + IF(Parameters_Public!$C$20=1, Parameters_Public!$C$19, 0))*AC14)</f>
        <v>3297653.5788752418</v>
      </c>
      <c r="AA14" s="2">
        <f t="shared" si="6"/>
        <v>5468.7455702740326</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(1-Parameters_Public!$C$43)*$G14*$AB14*$J14*(1-$K14)) + AB14*INDEX(YearMap!$Q$2:$Q$6, MATCH(C14, YearMap!$A$2:$A$6, 0))</f>
        <v>6766376.9929699944</v>
      </c>
      <c r="AF14" s="2">
        <f t="shared" si="8"/>
        <v>139239.14006125554</v>
      </c>
      <c r="AG14" t="str">
        <f t="shared" si="9"/>
        <v>C2_CoLocation_Echo_Targets|FY2028</v>
      </c>
    </row>
    <row r="15" spans="1:33" x14ac:dyDescent="0.35">
      <c r="A15" t="str">
        <f t="shared" si="0"/>
        <v>C2_CoLocation_Echo_Targets|FY2029</v>
      </c>
      <c r="B15" t="str">
        <f>Scenarios!A5</f>
        <v>C2_CoLocation_Echo_Targets</v>
      </c>
      <c r="C15" t="s">
        <v>190</v>
      </c>
      <c r="D15">
        <f>IF(Scenarios!D5=1,0, L15)</f>
        <v>282</v>
      </c>
      <c r="E15">
        <f>IF(Scenarios!E5=1,0, M15)</f>
        <v>321</v>
      </c>
      <c r="F15">
        <f t="shared" si="1"/>
        <v>603</v>
      </c>
      <c r="G15" s="2">
        <f>YearMap!B5</f>
        <v>9049.5031953810158</v>
      </c>
      <c r="H15" s="2">
        <f>YearMap!C5</f>
        <v>961844.18927653122</v>
      </c>
      <c r="I15" s="2">
        <f>YearMap!D5</f>
        <v>1107804.9806453434</v>
      </c>
      <c r="J15">
        <f>1-BaselineCalc!$B$5</f>
        <v>0.99299999999999999</v>
      </c>
      <c r="K15">
        <f>Scenarios!G5</f>
        <v>0.05</v>
      </c>
      <c r="L15">
        <f>IF(Scenarios!$Q5=1,BaselineCalc!$B$7*(1+Parameters_Public!$C44)^(IF($C15="FY2026",0,IF($C15="FY2027",1,IF($C15="FY2028",2,IF($C15="FY2029",3,IF($C15="FY2030",4,0))))))+ROUND(Scenarios!L5*Scenarios!$F5,0),BaselineCalc!$B$7+ROUND(Scenarios!L5*Scenarios!$F5,0))</f>
        <v>282</v>
      </c>
      <c r="M15">
        <f>IF(Scenarios!$R5=1,BaselineCalc!$B$8*(1+Parameters_Public!$C45)^(IF($C15="FY2026",0,IF($C15="FY2027",1,IF($C15="FY2028",2,IF($C15="FY2029",3,IF($C15="FY2030",4,0))))))+Scenarios!L5-ROUND(Scenarios!L5*Scenarios!$F5,0),BaselineCalc!$B$8+Scenarios!L5-ROUND(Scenarios!L5*Scenarios!$F5,0))</f>
        <v>321</v>
      </c>
      <c r="N15" s="11">
        <f t="shared" si="2"/>
        <v>0</v>
      </c>
      <c r="O15" s="11">
        <f>(Parameters_Public!$C$23*(L15-D15)+Parameters_Public!$C$24*(M15-E15))</f>
        <v>0</v>
      </c>
      <c r="P15">
        <f>YearMap!E5</f>
        <v>500</v>
      </c>
      <c r="Q15">
        <f>IF(Scenarios!N5="lease", YearMap!F5, YearMap!G5)</f>
        <v>0.6</v>
      </c>
      <c r="R15" s="2">
        <f>IF(Scenarios!D5=1, Q15*H15, H15)</f>
        <v>961844.18927653122</v>
      </c>
      <c r="S15" s="2">
        <f>IF(Scenarios!E5=1, Q15*I15, I15)</f>
        <v>1107804.9806453434</v>
      </c>
      <c r="T15" s="2">
        <f>IF(C15="FY2026", (Scenarios!D5+Scenarios!E5)*BaselineCalc!$B$22, 0)</f>
        <v>0</v>
      </c>
      <c r="U15" s="2">
        <f t="shared" si="3"/>
        <v>7100123.3945814958</v>
      </c>
      <c r="V15" s="2">
        <f t="shared" si="4"/>
        <v>0</v>
      </c>
      <c r="W15" s="2">
        <f>U15+V15+IF(Parameters_Public!$C$28=1, T15, 0)</f>
        <v>7100123.3945814958</v>
      </c>
      <c r="X15" s="2">
        <f t="shared" si="5"/>
        <v>11774.66566265588</v>
      </c>
      <c r="Y15" s="2">
        <f>INDEX(YearMap!$I$2:$I$6, MATCH(C15, YearMap!$A$2:$A$6, 0))</f>
        <v>5398.4527031249991</v>
      </c>
      <c r="Z15" s="2">
        <f>W15 - ((Y15 + IF(Parameters_Public!$C$20=1, Parameters_Public!$C$19, 0))*AC15)</f>
        <v>3391430.5645971214</v>
      </c>
      <c r="AA15" s="2">
        <f t="shared" si="6"/>
        <v>5624.2629595308817</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(1-Parameters_Public!$C$43)*$G15*$AB15*$J15*(1-$K15)) + AB15*INDEX(YearMap!$Q$2:$Q$6, MATCH(C15, YearMap!$A$2:$A$6, 0))</f>
        <v>6934386.4177942425</v>
      </c>
      <c r="AF15" s="2">
        <f t="shared" si="8"/>
        <v>143870.11856278777</v>
      </c>
      <c r="AG15" t="str">
        <f t="shared" si="9"/>
        <v>C2_CoLocation_Echo_Targets|FY2029</v>
      </c>
    </row>
    <row r="16" spans="1:33" x14ac:dyDescent="0.35">
      <c r="A16" t="str">
        <f t="shared" si="0"/>
        <v>C2_CoLocation_Echo_Targets|FY2030</v>
      </c>
      <c r="B16" t="str">
        <f>Scenarios!A5</f>
        <v>C2_CoLocation_Echo_Targets</v>
      </c>
      <c r="C16" t="s">
        <v>102</v>
      </c>
      <c r="D16">
        <f>IF(Scenarios!D5=1,0, L16)</f>
        <v>282</v>
      </c>
      <c r="E16">
        <f>IF(Scenarios!E5=1,0, M16)</f>
        <v>321</v>
      </c>
      <c r="F16">
        <f t="shared" si="1"/>
        <v>603</v>
      </c>
      <c r="G16" s="2">
        <f>YearMap!B6</f>
        <v>9275.7407752655399</v>
      </c>
      <c r="H16" s="2">
        <f>YearMap!C6</f>
        <v>985890.29400844453</v>
      </c>
      <c r="I16" s="2">
        <f>YearMap!D6</f>
        <v>1135500.1051614769</v>
      </c>
      <c r="J16">
        <f>1-BaselineCalc!$B$5</f>
        <v>0.99299999999999999</v>
      </c>
      <c r="K16">
        <f>Scenarios!G5</f>
        <v>0.05</v>
      </c>
      <c r="L16">
        <f>IF(Scenarios!$Q5=1,BaselineCalc!$B$7*(1+Parameters_Public!$C44)^(IF($C16="FY2026",0,IF($C16="FY2027",1,IF($C16="FY2028",2,IF($C16="FY2029",3,IF($C16="FY2030",4,0))))))+ROUND(Scenarios!M5*Scenarios!$F5,0),BaselineCalc!$B$7+ROUND(Scenarios!M5*Scenarios!$F5,0))</f>
        <v>282</v>
      </c>
      <c r="M16">
        <f>IF(Scenarios!$R5=1,BaselineCalc!$B$8*(1+Parameters_Public!$C45)^(IF($C16="FY2026",0,IF($C16="FY2027",1,IF($C16="FY2028",2,IF($C16="FY2029",3,IF($C16="FY2030",4,0))))))+Scenarios!M5-ROUND(Scenarios!M5*Scenarios!$F5,0),BaselineCalc!$B$8+Scenarios!M5-ROUND(Scenarios!M5*Scenarios!$F5,0))</f>
        <v>321</v>
      </c>
      <c r="N16" s="11">
        <f t="shared" si="2"/>
        <v>0</v>
      </c>
      <c r="O16" s="11">
        <f>(Parameters_Public!$C$23*(L16-D16)+Parameters_Public!$C$24*(M16-E16))</f>
        <v>0</v>
      </c>
      <c r="P16">
        <f>YearMap!E6</f>
        <v>300</v>
      </c>
      <c r="Q16">
        <f>IF(Scenarios!N5="lease", YearMap!F6, YearMap!G6)</f>
        <v>0.6</v>
      </c>
      <c r="R16" s="2">
        <f>IF(Scenarios!D5=1, Q16*H16, H16)</f>
        <v>985890.29400844453</v>
      </c>
      <c r="S16" s="2">
        <f>IF(Scenarios!E5=1, Q16*I16, I16)</f>
        <v>1135500.1051614769</v>
      </c>
      <c r="T16" s="2">
        <f>IF(C16="FY2026", (Scenarios!D5+Scenarios!E5)*BaselineCalc!$B$22, 0)</f>
        <v>0</v>
      </c>
      <c r="U16" s="2">
        <f t="shared" si="3"/>
        <v>7277626.479446033</v>
      </c>
      <c r="V16" s="2">
        <f t="shared" si="4"/>
        <v>0</v>
      </c>
      <c r="W16" s="2">
        <f>U16+V16+IF(Parameters_Public!$C$28=1, T16, 0)</f>
        <v>7277626.479446033</v>
      </c>
      <c r="X16" s="2">
        <f t="shared" si="5"/>
        <v>12069.032304222277</v>
      </c>
      <c r="Y16" s="2">
        <f>INDEX(YearMap!$I$2:$I$6, MATCH(C16, YearMap!$A$2:$A$6, 0))</f>
        <v>5533.4140207031242</v>
      </c>
      <c r="Z16" s="2">
        <f>W16 - ((Y16 + IF(Parameters_Public!$C$20=1, Parameters_Public!$C$19, 0))*AC16)</f>
        <v>3487551.9749620492</v>
      </c>
      <c r="AA16" s="2">
        <f t="shared" si="6"/>
        <v>5783.6682835191532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(1-Parameters_Public!$C$43)*$G16*$AB16*$J16*(1-$K16)) + AB16*INDEX(YearMap!$Q$2:$Q$6, MATCH(C16, YearMap!$A$2:$A$6, 0))</f>
        <v>7105621.0782390982</v>
      </c>
      <c r="AF16" s="2">
        <f t="shared" si="8"/>
        <v>149591.87152685784</v>
      </c>
      <c r="AG16" t="str">
        <f t="shared" si="9"/>
        <v>C2_CoLocation_Echo_Targets|FY2030</v>
      </c>
    </row>
    <row r="17" spans="1:33" x14ac:dyDescent="0.35">
      <c r="A17" t="str">
        <f t="shared" si="0"/>
        <v>C1_Grow_Both_Targets|FY2026</v>
      </c>
      <c r="B17" t="str">
        <f>Scenarios!A6</f>
        <v>C1_Grow_Both_Targets</v>
      </c>
      <c r="C17" t="s">
        <v>187</v>
      </c>
      <c r="D17">
        <f>IF(Scenarios!D6=1,0, L17)</f>
        <v>282</v>
      </c>
      <c r="E17">
        <f>IF(Scenarios!E6=1,0, M17)</f>
        <v>321</v>
      </c>
      <c r="F17">
        <f t="shared" si="1"/>
        <v>603</v>
      </c>
      <c r="G17" s="2">
        <f>YearMap!B2</f>
        <v>8403.3633363471963</v>
      </c>
      <c r="H17" s="2">
        <f>YearMap!C2</f>
        <v>922499.99999999988</v>
      </c>
      <c r="I17" s="2">
        <f>YearMap!D2</f>
        <v>999374.99999999988</v>
      </c>
      <c r="J17">
        <f>1-BaselineCalc!$B$5</f>
        <v>0.99299999999999999</v>
      </c>
      <c r="K17">
        <f>Scenarios!G6</f>
        <v>0</v>
      </c>
      <c r="L17">
        <f>IF(Scenarios!$Q6=1,BaselineCalc!$B$7*(1+Parameters_Public!$C44)^(IF($C17="FY2026",0,IF($C17="FY2027",1,IF($C17="FY2028",2,IF($C17="FY2029",3,IF($C17="FY2030",4,0))))))+ROUND(Scenarios!I6*Scenarios!$F6,0),BaselineCalc!$B$7+ROUND(Scenarios!I6*Scenarios!$F6,0))</f>
        <v>282</v>
      </c>
      <c r="M17">
        <f>IF(Scenarios!$R6=1,BaselineCalc!$B$8*(1+Parameters_Public!$C45)^(IF($C17="FY2026",0,IF($C17="FY2027",1,IF($C17="FY2028",2,IF($C17="FY2029",3,IF($C17="FY2030",4,0))))))+Scenarios!I6-ROUND(Scenarios!I6*Scenarios!$F6,0),BaselineCalc!$B$8+Scenarios!I6-ROUND(Scenarios!I6*Scenarios!$F6,0))</f>
        <v>321</v>
      </c>
      <c r="N17" s="11">
        <f t="shared" si="2"/>
        <v>0</v>
      </c>
      <c r="O17" s="11">
        <f>(Parameters_Public!$C$23*(L17-D17)+Parameters_Public!$C$24*(M17-E17))</f>
        <v>0</v>
      </c>
      <c r="P17">
        <f>YearMap!E2</f>
        <v>1000</v>
      </c>
      <c r="Q17">
        <f>IF(Scenarios!N6="lease", YearMap!F2, YearMap!G2)</f>
        <v>0.75</v>
      </c>
      <c r="R17" s="2">
        <f>IF(Scenarios!D6=1, Q17*H17, H17)</f>
        <v>922499.99999999988</v>
      </c>
      <c r="S17" s="2">
        <f>IF(Scenarios!E6=1, Q17*I17, I17)</f>
        <v>999374.99999999988</v>
      </c>
      <c r="T17" s="2">
        <f>IF(C17="FY2026", (Scenarios!D6+Scenarios!E6)*BaselineCalc!$B$22, 0)</f>
        <v>0</v>
      </c>
      <c r="U17" s="2">
        <f t="shared" si="3"/>
        <v>6940179.370174638</v>
      </c>
      <c r="V17" s="2">
        <f t="shared" si="4"/>
        <v>0</v>
      </c>
      <c r="W17" s="2">
        <f>U17+V17+IF(Parameters_Public!$C$28=1, T17, 0)</f>
        <v>6940179.370174638</v>
      </c>
      <c r="X17" s="2">
        <f t="shared" si="5"/>
        <v>11509.41852433605</v>
      </c>
      <c r="Y17" s="2">
        <f>INDEX(YearMap!$I$2:$I$6, MATCH(C17, YearMap!$A$2:$A$6, 0))</f>
        <v>5013</v>
      </c>
      <c r="Z17" s="2">
        <f>W17 - ((Y17 + IF(Parameters_Public!$C$20=1, Parameters_Public!$C$19, 0))*AC17)</f>
        <v>3463914.5201746379</v>
      </c>
      <c r="AA17" s="2">
        <f t="shared" si="6"/>
        <v>5744.46852433605</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(1-Parameters_Public!$C$43)*$G17*$AB17*$J17*(1-$K17)) + AB17*INDEX(YearMap!$Q$2:$Q$6, MATCH(C17, YearMap!$A$2:$A$6, 0))</f>
        <v>6783288.5743147824</v>
      </c>
      <c r="AF17" s="2">
        <f t="shared" si="8"/>
        <v>-210423.72431478277</v>
      </c>
      <c r="AG17" t="str">
        <f t="shared" si="9"/>
        <v>C1_Grow_Both_Targets|FY2026</v>
      </c>
    </row>
    <row r="18" spans="1:33" x14ac:dyDescent="0.35">
      <c r="A18" t="str">
        <f t="shared" si="0"/>
        <v>C1_Grow_Both_Targets|FY2027</v>
      </c>
      <c r="B18" t="str">
        <f>Scenarios!A6</f>
        <v>C1_Grow_Both_Targets</v>
      </c>
      <c r="C18" t="s">
        <v>188</v>
      </c>
      <c r="D18">
        <f>IF(Scenarios!D6=1,0, L18)</f>
        <v>307</v>
      </c>
      <c r="E18">
        <f>IF(Scenarios!E6=1,0, M18)</f>
        <v>346</v>
      </c>
      <c r="F18">
        <f t="shared" si="1"/>
        <v>653</v>
      </c>
      <c r="G18" s="2">
        <f>YearMap!B3</f>
        <v>8613.4474197558757</v>
      </c>
      <c r="H18" s="2">
        <f>YearMap!C3</f>
        <v>915497.14624773955</v>
      </c>
      <c r="I18" s="2">
        <f>YearMap!D3</f>
        <v>1054424.7287522603</v>
      </c>
      <c r="J18">
        <f>1-BaselineCalc!$B$5</f>
        <v>0.99299999999999999</v>
      </c>
      <c r="K18">
        <f>Scenarios!G6</f>
        <v>0</v>
      </c>
      <c r="L18">
        <f>IF(Scenarios!$Q6=1,BaselineCalc!$B$7*(1+Parameters_Public!$C44)^(IF($C18="FY2026",0,IF($C18="FY2027",1,IF($C18="FY2028",2,IF($C18="FY2029",3,IF($C18="FY2030",4,0))))))+ROUND(Scenarios!J6*Scenarios!$F6,0),BaselineCalc!$B$7+ROUND(Scenarios!J6*Scenarios!$F6,0))</f>
        <v>307</v>
      </c>
      <c r="M18">
        <f>IF(Scenarios!$R6=1,BaselineCalc!$B$8*(1+Parameters_Public!$C45)^(IF($C18="FY2026",0,IF($C18="FY2027",1,IF($C18="FY2028",2,IF($C18="FY2029",3,IF($C18="FY2030",4,0))))))+Scenarios!J6-ROUND(Scenarios!J6*Scenarios!$F6,0),BaselineCalc!$B$8+Scenarios!J6-ROUND(Scenarios!J6*Scenarios!$F6,0))</f>
        <v>346</v>
      </c>
      <c r="N18" s="11">
        <f t="shared" si="2"/>
        <v>0</v>
      </c>
      <c r="O18" s="11">
        <f>(Parameters_Public!$C$23*(L18-D18)+Parameters_Public!$C$24*(M18-E18))</f>
        <v>0</v>
      </c>
      <c r="P18">
        <f>YearMap!E3</f>
        <v>800</v>
      </c>
      <c r="Q18">
        <f>IF(Scenarios!N6="lease", YearMap!F3, YearMap!G3)</f>
        <v>0.7</v>
      </c>
      <c r="R18" s="2">
        <f>IF(Scenarios!D6=1, Q18*H18, H18)</f>
        <v>915497.14624773955</v>
      </c>
      <c r="S18" s="2">
        <f>IF(Scenarios!E6=1, Q18*I18, I18)</f>
        <v>1054424.7287522603</v>
      </c>
      <c r="T18" s="2">
        <f>IF(C18="FY2026", (Scenarios!D6+Scenarios!E6)*BaselineCalc!$B$22, 0)</f>
        <v>0</v>
      </c>
      <c r="U18" s="2">
        <f t="shared" si="3"/>
        <v>7541341.5188198825</v>
      </c>
      <c r="V18" s="2">
        <f t="shared" si="4"/>
        <v>0</v>
      </c>
      <c r="W18" s="2">
        <f>U18+V18+IF(Parameters_Public!$C$28=1, T18, 0)</f>
        <v>7541341.5188198825</v>
      </c>
      <c r="X18" s="2">
        <f t="shared" si="5"/>
        <v>11548.761897120799</v>
      </c>
      <c r="Y18" s="2">
        <f>INDEX(YearMap!$I$2:$I$6, MATCH(C18, YearMap!$A$2:$A$6, 0))</f>
        <v>5138.3249999999998</v>
      </c>
      <c r="Z18" s="2">
        <f>W18 - ((Y18 + IF(Parameters_Public!$C$20=1, Parameters_Public!$C$19, 0))*AC18)</f>
        <v>3694991.9438198828</v>
      </c>
      <c r="AA18" s="2">
        <f t="shared" si="6"/>
        <v>5658.4868971208007</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(1-Parameters_Public!$C$43)*$G18*$AB18*$J18*(1-$K18)) + AB18*INDEX(YearMap!$Q$2:$Q$6, MATCH(C18, YearMap!$A$2:$A$6, 0))</f>
        <v>7215215.3873071792</v>
      </c>
      <c r="AF18" s="2">
        <f t="shared" si="8"/>
        <v>43949.771442820318</v>
      </c>
      <c r="AG18" t="str">
        <f t="shared" si="9"/>
        <v>C1_Grow_Both_Targets|FY2027</v>
      </c>
    </row>
    <row r="19" spans="1:33" x14ac:dyDescent="0.35">
      <c r="A19" t="str">
        <f t="shared" si="0"/>
        <v>C1_Grow_Both_Targets|FY2028</v>
      </c>
      <c r="B19" t="str">
        <f>Scenarios!A6</f>
        <v>C1_Grow_Both_Targets</v>
      </c>
      <c r="C19" t="s">
        <v>189</v>
      </c>
      <c r="D19">
        <f>IF(Scenarios!D6=1,0, L19)</f>
        <v>332</v>
      </c>
      <c r="E19">
        <f>IF(Scenarios!E6=1,0, M19)</f>
        <v>371</v>
      </c>
      <c r="F19">
        <f t="shared" si="1"/>
        <v>703</v>
      </c>
      <c r="G19" s="2">
        <f>YearMap!B4</f>
        <v>8828.7836052497714</v>
      </c>
      <c r="H19" s="2">
        <f>YearMap!C4</f>
        <v>938384.57490393298</v>
      </c>
      <c r="I19" s="2">
        <f>YearMap!D4</f>
        <v>1080785.3469710669</v>
      </c>
      <c r="J19">
        <f>1-BaselineCalc!$B$5</f>
        <v>0.99299999999999999</v>
      </c>
      <c r="K19">
        <f>Scenarios!G6</f>
        <v>0</v>
      </c>
      <c r="L19">
        <f>IF(Scenarios!$Q6=1,BaselineCalc!$B$7*(1+Parameters_Public!$C44)^(IF($C19="FY2026",0,IF($C19="FY2027",1,IF($C19="FY2028",2,IF($C19="FY2029",3,IF($C19="FY2030",4,0))))))+ROUND(Scenarios!K6*Scenarios!$F6,0),BaselineCalc!$B$7+ROUND(Scenarios!K6*Scenarios!$F6,0))</f>
        <v>332</v>
      </c>
      <c r="M19">
        <f>IF(Scenarios!$R6=1,BaselineCalc!$B$8*(1+Parameters_Public!$C45)^(IF($C19="FY2026",0,IF($C19="FY2027",1,IF($C19="FY2028",2,IF($C19="FY2029",3,IF($C19="FY2030",4,0))))))+Scenarios!K6-ROUND(Scenarios!K6*Scenarios!$F6,0),BaselineCalc!$B$8+Scenarios!K6-ROUND(Scenarios!K6*Scenarios!$F6,0))</f>
        <v>371</v>
      </c>
      <c r="N19" s="11">
        <f t="shared" si="2"/>
        <v>0</v>
      </c>
      <c r="O19" s="11">
        <f>(Parameters_Public!$C$23*(L19-D19)+Parameters_Public!$C$24*(M19-E19))</f>
        <v>0</v>
      </c>
      <c r="P19">
        <f>YearMap!E4</f>
        <v>600</v>
      </c>
      <c r="Q19">
        <f>IF(Scenarios!N6="lease", YearMap!F4, YearMap!G4)</f>
        <v>0.65</v>
      </c>
      <c r="R19" s="2">
        <f>IF(Scenarios!D6=1, Q19*H19, H19)</f>
        <v>938384.57490393298</v>
      </c>
      <c r="S19" s="2">
        <f>IF(Scenarios!E6=1, Q19*I19, I19)</f>
        <v>1080785.3469710669</v>
      </c>
      <c r="T19" s="2">
        <f>IF(C19="FY2026", (Scenarios!D6+Scenarios!E6)*BaselineCalc!$B$22, 0)</f>
        <v>0</v>
      </c>
      <c r="U19" s="2">
        <f t="shared" si="3"/>
        <v>8168224.1627910296</v>
      </c>
      <c r="V19" s="2">
        <f t="shared" si="4"/>
        <v>0</v>
      </c>
      <c r="W19" s="2">
        <f>U19+V19+IF(Parameters_Public!$C$28=1, T19, 0)</f>
        <v>8168224.1627910296</v>
      </c>
      <c r="X19" s="2">
        <f t="shared" si="5"/>
        <v>11619.095537398334</v>
      </c>
      <c r="Y19" s="2">
        <f>INDEX(YearMap!$I$2:$I$6, MATCH(C19, YearMap!$A$2:$A$6, 0))</f>
        <v>5266.7831249999999</v>
      </c>
      <c r="Z19" s="2">
        <f>W19 - ((Y19 + IF(Parameters_Public!$C$20=1, Parameters_Public!$C$19, 0))*AC19)</f>
        <v>3937054.7759160297</v>
      </c>
      <c r="AA19" s="2">
        <f t="shared" si="6"/>
        <v>5600.3624123983354</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(1-Parameters_Public!$C$43)*$G19*$AB19*$J19*(1-$K19)) + AB19*INDEX(YearMap!$Q$2:$Q$6, MATCH(C19, YearMap!$A$2:$A$6, 0))</f>
        <v>7660205.2355902484</v>
      </c>
      <c r="AF19" s="2">
        <f t="shared" si="8"/>
        <v>315467.2068160018</v>
      </c>
      <c r="AG19" t="str">
        <f t="shared" si="9"/>
        <v>C1_Grow_Both_Targets|FY2028</v>
      </c>
    </row>
    <row r="20" spans="1:33" x14ac:dyDescent="0.35">
      <c r="A20" t="str">
        <f t="shared" si="0"/>
        <v>C1_Grow_Both_Targets|FY2029</v>
      </c>
      <c r="B20" t="str">
        <f>Scenarios!A6</f>
        <v>C1_Grow_Both_Targets</v>
      </c>
      <c r="C20" t="s">
        <v>190</v>
      </c>
      <c r="D20">
        <f>IF(Scenarios!D6=1,0, L20)</f>
        <v>332</v>
      </c>
      <c r="E20">
        <f>IF(Scenarios!E6=1,0, M20)</f>
        <v>371</v>
      </c>
      <c r="F20">
        <f t="shared" si="1"/>
        <v>703</v>
      </c>
      <c r="G20" s="2">
        <f>YearMap!B5</f>
        <v>9049.5031953810158</v>
      </c>
      <c r="H20" s="2">
        <f>YearMap!C5</f>
        <v>961844.18927653122</v>
      </c>
      <c r="I20" s="2">
        <f>YearMap!D5</f>
        <v>1107804.9806453434</v>
      </c>
      <c r="J20">
        <f>1-BaselineCalc!$B$5</f>
        <v>0.99299999999999999</v>
      </c>
      <c r="K20">
        <f>Scenarios!G6</f>
        <v>0</v>
      </c>
      <c r="L20">
        <f>IF(Scenarios!$Q6=1,BaselineCalc!$B$7*(1+Parameters_Public!$C44)^(IF($C20="FY2026",0,IF($C20="FY2027",1,IF($C20="FY2028",2,IF($C20="FY2029",3,IF($C20="FY2030",4,0))))))+ROUND(Scenarios!L6*Scenarios!$F6,0),BaselineCalc!$B$7+ROUND(Scenarios!L6*Scenarios!$F6,0))</f>
        <v>332</v>
      </c>
      <c r="M20">
        <f>IF(Scenarios!$R6=1,BaselineCalc!$B$8*(1+Parameters_Public!$C45)^(IF($C20="FY2026",0,IF($C20="FY2027",1,IF($C20="FY2028",2,IF($C20="FY2029",3,IF($C20="FY2030",4,0))))))+Scenarios!L6-ROUND(Scenarios!L6*Scenarios!$F6,0),BaselineCalc!$B$8+Scenarios!L6-ROUND(Scenarios!L6*Scenarios!$F6,0))</f>
        <v>371</v>
      </c>
      <c r="N20" s="11">
        <f t="shared" si="2"/>
        <v>0</v>
      </c>
      <c r="O20" s="11">
        <f>(Parameters_Public!$C$23*(L20-D20)+Parameters_Public!$C$24*(M20-E20))</f>
        <v>0</v>
      </c>
      <c r="P20">
        <f>YearMap!E5</f>
        <v>500</v>
      </c>
      <c r="Q20">
        <f>IF(Scenarios!N6="lease", YearMap!F5, YearMap!G5)</f>
        <v>0.6</v>
      </c>
      <c r="R20" s="2">
        <f>IF(Scenarios!D6=1, Q20*H20, H20)</f>
        <v>961844.18927653122</v>
      </c>
      <c r="S20" s="2">
        <f>IF(Scenarios!E6=1, Q20*I20, I20)</f>
        <v>1107804.9806453434</v>
      </c>
      <c r="T20" s="2">
        <f>IF(C20="FY2026", (Scenarios!D6+Scenarios!E6)*BaselineCalc!$B$22, 0)</f>
        <v>0</v>
      </c>
      <c r="U20" s="2">
        <f t="shared" si="3"/>
        <v>8372429.7668608055</v>
      </c>
      <c r="V20" s="2">
        <f t="shared" si="4"/>
        <v>0</v>
      </c>
      <c r="W20" s="2">
        <f>U20+V20+IF(Parameters_Public!$C$28=1, T20, 0)</f>
        <v>8372429.7668608055</v>
      </c>
      <c r="X20" s="2">
        <f t="shared" si="5"/>
        <v>11909.572925833294</v>
      </c>
      <c r="Y20" s="2">
        <f>INDEX(YearMap!$I$2:$I$6, MATCH(C20, YearMap!$A$2:$A$6, 0))</f>
        <v>5398.4527031249991</v>
      </c>
      <c r="Z20" s="2">
        <f>W20 - ((Y20 + IF(Parameters_Public!$C$20=1, Parameters_Public!$C$19, 0))*AC20)</f>
        <v>4048696.6665639309</v>
      </c>
      <c r="AA20" s="2">
        <f t="shared" si="6"/>
        <v>5759.1702227082942</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(1-Parameters_Public!$C$43)*$G20*$AB20*$J20*(1-$K20)) + AB20*INDEX(YearMap!$Q$2:$Q$6, MATCH(C20, YearMap!$A$2:$A$6, 0))</f>
        <v>7848260.366480004</v>
      </c>
      <c r="AF20" s="2">
        <f t="shared" si="8"/>
        <v>326803.88698640093</v>
      </c>
      <c r="AG20" t="str">
        <f t="shared" si="9"/>
        <v>C1_Grow_Both_Targets|FY2029</v>
      </c>
    </row>
    <row r="21" spans="1:33" x14ac:dyDescent="0.35">
      <c r="A21" t="str">
        <f t="shared" si="0"/>
        <v>C1_Grow_Both_Targets|FY2030</v>
      </c>
      <c r="B21" t="str">
        <f>Scenarios!A6</f>
        <v>C1_Grow_Both_Targets</v>
      </c>
      <c r="C21" t="s">
        <v>102</v>
      </c>
      <c r="D21">
        <f>IF(Scenarios!D6=1,0, L21)</f>
        <v>332</v>
      </c>
      <c r="E21">
        <f>IF(Scenarios!E6=1,0, M21)</f>
        <v>371</v>
      </c>
      <c r="F21">
        <f t="shared" si="1"/>
        <v>703</v>
      </c>
      <c r="G21" s="2">
        <f>YearMap!B6</f>
        <v>9275.7407752655399</v>
      </c>
      <c r="H21" s="2">
        <f>YearMap!C6</f>
        <v>985890.29400844453</v>
      </c>
      <c r="I21" s="2">
        <f>YearMap!D6</f>
        <v>1135500.1051614769</v>
      </c>
      <c r="J21">
        <f>1-BaselineCalc!$B$5</f>
        <v>0.99299999999999999</v>
      </c>
      <c r="K21">
        <f>Scenarios!G6</f>
        <v>0</v>
      </c>
      <c r="L21">
        <f>IF(Scenarios!$Q6=1,BaselineCalc!$B$7*(1+Parameters_Public!$C44)^(IF($C21="FY2026",0,IF($C21="FY2027",1,IF($C21="FY2028",2,IF($C21="FY2029",3,IF($C21="FY2030",4,0))))))+ROUND(Scenarios!M6*Scenarios!$F6,0),BaselineCalc!$B$7+ROUND(Scenarios!M6*Scenarios!$F6,0))</f>
        <v>332</v>
      </c>
      <c r="M21">
        <f>IF(Scenarios!$R6=1,BaselineCalc!$B$8*(1+Parameters_Public!$C45)^(IF($C21="FY2026",0,IF($C21="FY2027",1,IF($C21="FY2028",2,IF($C21="FY2029",3,IF($C21="FY2030",4,0))))))+Scenarios!M6-ROUND(Scenarios!M6*Scenarios!$F6,0),BaselineCalc!$B$8+Scenarios!M6-ROUND(Scenarios!M6*Scenarios!$F6,0))</f>
        <v>371</v>
      </c>
      <c r="N21" s="11">
        <f t="shared" si="2"/>
        <v>0</v>
      </c>
      <c r="O21" s="11">
        <f>(Parameters_Public!$C$23*(L21-D21)+Parameters_Public!$C$24*(M21-E21))</f>
        <v>0</v>
      </c>
      <c r="P21">
        <f>YearMap!E6</f>
        <v>300</v>
      </c>
      <c r="Q21">
        <f>IF(Scenarios!N6="lease", YearMap!F6, YearMap!G6)</f>
        <v>0.6</v>
      </c>
      <c r="R21" s="2">
        <f>IF(Scenarios!D6=1, Q21*H21, H21)</f>
        <v>985890.29400844453</v>
      </c>
      <c r="S21" s="2">
        <f>IF(Scenarios!E6=1, Q21*I21, I21)</f>
        <v>1135500.1051614769</v>
      </c>
      <c r="T21" s="2">
        <f>IF(C21="FY2026", (Scenarios!D6+Scenarios!E6)*BaselineCalc!$B$22, 0)</f>
        <v>0</v>
      </c>
      <c r="U21" s="2">
        <f t="shared" si="3"/>
        <v>8581740.5110323243</v>
      </c>
      <c r="V21" s="2">
        <f t="shared" si="4"/>
        <v>0</v>
      </c>
      <c r="W21" s="2">
        <f>U21+V21+IF(Parameters_Public!$C$28=1, T21, 0)</f>
        <v>8581740.5110323243</v>
      </c>
      <c r="X21" s="2">
        <f t="shared" si="5"/>
        <v>12207.312248979124</v>
      </c>
      <c r="Y21" s="2">
        <f>INDEX(YearMap!$I$2:$I$6, MATCH(C21, YearMap!$A$2:$A$6, 0))</f>
        <v>5533.4140207031242</v>
      </c>
      <c r="Z21" s="2">
        <f>W21 - ((Y21 + IF(Parameters_Public!$C$20=1, Parameters_Public!$C$19, 0))*AC21)</f>
        <v>4163129.6044780277</v>
      </c>
      <c r="AA21" s="2">
        <f t="shared" si="6"/>
        <v>5921.9482282759991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(1-Parameters_Public!$C$43)*$G21*$AB21*$J21*(1-$K21)) + AB21*INDEX(YearMap!$Q$2:$Q$6, MATCH(C21, YearMap!$A$2:$A$6, 0))</f>
        <v>8038091.8756420035</v>
      </c>
      <c r="AF21" s="2">
        <f t="shared" si="8"/>
        <v>341348.98416106123</v>
      </c>
      <c r="AG21" t="str">
        <f t="shared" si="9"/>
        <v>C1_Grow_Both_Targets|FY2030</v>
      </c>
    </row>
    <row r="22" spans="1:33" x14ac:dyDescent="0.35">
      <c r="A22" t="str">
        <f t="shared" si="0"/>
        <v>B2_StatusQuo_Steady|FY2026</v>
      </c>
      <c r="B22" t="str">
        <f>Scenarios!A7</f>
        <v>B2_StatusQuo_Steady</v>
      </c>
      <c r="C22" t="s">
        <v>187</v>
      </c>
      <c r="D22">
        <f>IF(Scenarios!D7=1,0, L22)</f>
        <v>257</v>
      </c>
      <c r="E22">
        <f>IF(Scenarios!E7=1,0, M22)</f>
        <v>296</v>
      </c>
      <c r="F22">
        <f t="shared" si="1"/>
        <v>553</v>
      </c>
      <c r="G22" s="2">
        <f>YearMap!B2</f>
        <v>8403.3633363471963</v>
      </c>
      <c r="H22" s="2">
        <f>YearMap!C2</f>
        <v>922499.99999999988</v>
      </c>
      <c r="I22" s="2">
        <f>YearMap!D2</f>
        <v>999374.99999999988</v>
      </c>
      <c r="J22">
        <f>1-BaselineCalc!$B$5</f>
        <v>0.99299999999999999</v>
      </c>
      <c r="K22">
        <f>Scenarios!G7</f>
        <v>0</v>
      </c>
      <c r="L22">
        <f>IF(Scenarios!$Q7=1,BaselineCalc!$B$7*(1+Parameters_Public!$C44)^(IF($C22="FY2026",0,IF($C22="FY2027",1,IF($C22="FY2028",2,IF($C22="FY2029",3,IF($C22="FY2030",4,0))))))+ROUND(Scenarios!I7*Scenarios!$F7,0),BaselineCalc!$B$7+ROUND(Scenarios!I7*Scenarios!$F7,0))</f>
        <v>257</v>
      </c>
      <c r="M22">
        <f>IF(Scenarios!$R7=1,BaselineCalc!$B$8*(1+Parameters_Public!$C45)^(IF($C22="FY2026",0,IF($C22="FY2027",1,IF($C22="FY2028",2,IF($C22="FY2029",3,IF($C22="FY2030",4,0))))))+Scenarios!I7-ROUND(Scenarios!I7*Scenarios!$F7,0),BaselineCalc!$B$8+Scenarios!I7-ROUND(Scenarios!I7*Scenarios!$F7,0))</f>
        <v>296</v>
      </c>
      <c r="N22" s="11">
        <f t="shared" si="2"/>
        <v>0</v>
      </c>
      <c r="O22" s="11">
        <f>(Parameters_Public!$C$23*(L22-D22)+Parameters_Public!$C$24*(M22-E22))</f>
        <v>0</v>
      </c>
      <c r="P22">
        <f>YearMap!E2</f>
        <v>1000</v>
      </c>
      <c r="Q22">
        <f>IF(Scenarios!N7="lease", YearMap!F2, YearMap!G2)</f>
        <v>0.75</v>
      </c>
      <c r="R22" s="2">
        <f>IF(Scenarios!D7=1, Q22*H22, H22)</f>
        <v>922499.99999999988</v>
      </c>
      <c r="S22" s="2">
        <f>IF(Scenarios!E7=1, Q22*I22, I22)</f>
        <v>999374.99999999988</v>
      </c>
      <c r="T22" s="2">
        <f>IF(C22="FY2026", (Scenarios!D7+Scenarios!E7)*BaselineCalc!$B$22, 0)</f>
        <v>0</v>
      </c>
      <c r="U22" s="2">
        <f t="shared" si="3"/>
        <v>6522952.3805249995</v>
      </c>
      <c r="V22" s="2">
        <f t="shared" si="4"/>
        <v>0</v>
      </c>
      <c r="W22" s="2">
        <f>U22+V22+IF(Parameters_Public!$C$28=1, T22, 0)</f>
        <v>6522952.3805249995</v>
      </c>
      <c r="X22" s="2">
        <f t="shared" si="5"/>
        <v>11795.573924999999</v>
      </c>
      <c r="Y22" s="2">
        <f>INDEX(YearMap!$I$2:$I$6, MATCH(C22, YearMap!$A$2:$A$6, 0))</f>
        <v>5013</v>
      </c>
      <c r="Z22" s="2">
        <f>W22 - ((Y22 + IF(Parameters_Public!$C$20=1, Parameters_Public!$C$19, 0))*AC22)</f>
        <v>3334935.0305249994</v>
      </c>
      <c r="AA22" s="2">
        <f t="shared" si="6"/>
        <v>6030.623924999999</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(1-Parameters_Public!$C$43)*$G22*$AB22*$J22*(1-$K22)) + AB22*INDEX(YearMap!$Q$2:$Q$6, MATCH(C22, YearMap!$A$2:$A$6, 0))</f>
        <v>6522952.3805249995</v>
      </c>
      <c r="AF22" s="2">
        <f t="shared" si="8"/>
        <v>-459335.03052499983</v>
      </c>
      <c r="AG22" t="str">
        <f t="shared" si="9"/>
        <v>B2_StatusQuo_Steady|FY2026</v>
      </c>
    </row>
    <row r="23" spans="1:33" x14ac:dyDescent="0.35">
      <c r="A23" t="str">
        <f t="shared" si="0"/>
        <v>B2_StatusQuo_Steady|FY2027</v>
      </c>
      <c r="B23" t="str">
        <f>Scenarios!A7</f>
        <v>B2_StatusQuo_Steady</v>
      </c>
      <c r="C23" t="s">
        <v>188</v>
      </c>
      <c r="D23">
        <f>IF(Scenarios!D7=1,0, L23)</f>
        <v>257</v>
      </c>
      <c r="E23">
        <f>IF(Scenarios!E7=1,0, M23)</f>
        <v>296</v>
      </c>
      <c r="F23">
        <f t="shared" si="1"/>
        <v>553</v>
      </c>
      <c r="G23" s="2">
        <f>YearMap!B3</f>
        <v>8613.4474197558757</v>
      </c>
      <c r="H23" s="2">
        <f>YearMap!C3</f>
        <v>915497.14624773955</v>
      </c>
      <c r="I23" s="2">
        <f>YearMap!D3</f>
        <v>1054424.7287522603</v>
      </c>
      <c r="J23">
        <f>1-BaselineCalc!$B$5</f>
        <v>0.99299999999999999</v>
      </c>
      <c r="K23">
        <f>Scenarios!G7</f>
        <v>0</v>
      </c>
      <c r="L23">
        <f>IF(Scenarios!$Q7=1,BaselineCalc!$B$7*(1+Parameters_Public!$C44)^(IF($C23="FY2026",0,IF($C23="FY2027",1,IF($C23="FY2028",2,IF($C23="FY2029",3,IF($C23="FY2030",4,0))))))+ROUND(Scenarios!J7*Scenarios!$F7,0),BaselineCalc!$B$7+ROUND(Scenarios!J7*Scenarios!$F7,0))</f>
        <v>257</v>
      </c>
      <c r="M23">
        <f>IF(Scenarios!$R7=1,BaselineCalc!$B$8*(1+Parameters_Public!$C45)^(IF($C23="FY2026",0,IF($C23="FY2027",1,IF($C23="FY2028",2,IF($C23="FY2029",3,IF($C23="FY2030",4,0))))))+Scenarios!J7-ROUND(Scenarios!J7*Scenarios!$F7,0),BaselineCalc!$B$8+Scenarios!J7-ROUND(Scenarios!J7*Scenarios!$F7,0))</f>
        <v>296</v>
      </c>
      <c r="N23" s="11">
        <f t="shared" si="2"/>
        <v>0</v>
      </c>
      <c r="O23" s="11">
        <f>(Parameters_Public!$C$23*(L23-D23)+Parameters_Public!$C$24*(M23-E23))</f>
        <v>0</v>
      </c>
      <c r="P23">
        <f>YearMap!E3</f>
        <v>800</v>
      </c>
      <c r="Q23">
        <f>IF(Scenarios!N7="lease", YearMap!F3, YearMap!G3)</f>
        <v>0.7</v>
      </c>
      <c r="R23" s="2">
        <f>IF(Scenarios!D7=1, Q23*H23, H23)</f>
        <v>915497.14624773955</v>
      </c>
      <c r="S23" s="2">
        <f>IF(Scenarios!E7=1, Q23*I23, I23)</f>
        <v>1054424.7287522603</v>
      </c>
      <c r="T23" s="2">
        <f>IF(C23="FY2026", (Scenarios!D7+Scenarios!E7)*BaselineCalc!$B$22, 0)</f>
        <v>0</v>
      </c>
      <c r="U23" s="2">
        <f t="shared" si="3"/>
        <v>6686026.1900381241</v>
      </c>
      <c r="V23" s="2">
        <f t="shared" si="4"/>
        <v>0</v>
      </c>
      <c r="W23" s="2">
        <f>U23+V23+IF(Parameters_Public!$C$28=1, T23, 0)</f>
        <v>6686026.1900381241</v>
      </c>
      <c r="X23" s="2">
        <f t="shared" si="5"/>
        <v>12090.463273124999</v>
      </c>
      <c r="Y23" s="2">
        <f>INDEX(YearMap!$I$2:$I$6, MATCH(C23, YearMap!$A$2:$A$6, 0))</f>
        <v>5138.3249999999998</v>
      </c>
      <c r="Z23" s="2">
        <f>W23 - ((Y23 + IF(Parameters_Public!$C$20=1, Parameters_Public!$C$19, 0))*AC23)</f>
        <v>3428704.1150381244</v>
      </c>
      <c r="AA23" s="2">
        <f t="shared" si="6"/>
        <v>6200.1882731249989</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(1-Parameters_Public!$C$43)*$G23*$AB23*$J23*(1-$K23)) + AB23*INDEX(YearMap!$Q$2:$Q$6, MATCH(C23, YearMap!$A$2:$A$6, 0))</f>
        <v>6686026.1900381241</v>
      </c>
      <c r="AF23" s="2">
        <f t="shared" si="8"/>
        <v>-470818.40628812462</v>
      </c>
      <c r="AG23" t="str">
        <f t="shared" si="9"/>
        <v>B2_StatusQuo_Steady|FY2027</v>
      </c>
    </row>
    <row r="24" spans="1:33" x14ac:dyDescent="0.35">
      <c r="A24" t="str">
        <f t="shared" si="0"/>
        <v>B2_StatusQuo_Steady|FY2028</v>
      </c>
      <c r="B24" t="str">
        <f>Scenarios!A7</f>
        <v>B2_StatusQuo_Steady</v>
      </c>
      <c r="C24" t="s">
        <v>189</v>
      </c>
      <c r="D24">
        <f>IF(Scenarios!D7=1,0, L24)</f>
        <v>257</v>
      </c>
      <c r="E24">
        <f>IF(Scenarios!E7=1,0, M24)</f>
        <v>296</v>
      </c>
      <c r="F24">
        <f t="shared" si="1"/>
        <v>553</v>
      </c>
      <c r="G24" s="2">
        <f>YearMap!B4</f>
        <v>8828.7836052497714</v>
      </c>
      <c r="H24" s="2">
        <f>YearMap!C4</f>
        <v>938384.57490393298</v>
      </c>
      <c r="I24" s="2">
        <f>YearMap!D4</f>
        <v>1080785.3469710669</v>
      </c>
      <c r="J24">
        <f>1-BaselineCalc!$B$5</f>
        <v>0.99299999999999999</v>
      </c>
      <c r="K24">
        <f>Scenarios!G7</f>
        <v>0</v>
      </c>
      <c r="L24">
        <f>IF(Scenarios!$Q7=1,BaselineCalc!$B$7*(1+Parameters_Public!$C44)^(IF($C24="FY2026",0,IF($C24="FY2027",1,IF($C24="FY2028",2,IF($C24="FY2029",3,IF($C24="FY2030",4,0))))))+ROUND(Scenarios!K7*Scenarios!$F7,0),BaselineCalc!$B$7+ROUND(Scenarios!K7*Scenarios!$F7,0))</f>
        <v>257</v>
      </c>
      <c r="M24">
        <f>IF(Scenarios!$R7=1,BaselineCalc!$B$8*(1+Parameters_Public!$C45)^(IF($C24="FY2026",0,IF($C24="FY2027",1,IF($C24="FY2028",2,IF($C24="FY2029",3,IF($C24="FY2030",4,0))))))+Scenarios!K7-ROUND(Scenarios!K7*Scenarios!$F7,0),BaselineCalc!$B$8+Scenarios!K7-ROUND(Scenarios!K7*Scenarios!$F7,0))</f>
        <v>296</v>
      </c>
      <c r="N24" s="11">
        <f t="shared" si="2"/>
        <v>0</v>
      </c>
      <c r="O24" s="11">
        <f>(Parameters_Public!$C$23*(L24-D24)+Parameters_Public!$C$24*(M24-E24))</f>
        <v>0</v>
      </c>
      <c r="P24">
        <f>YearMap!E4</f>
        <v>600</v>
      </c>
      <c r="Q24">
        <f>IF(Scenarios!N7="lease", YearMap!F4, YearMap!G4)</f>
        <v>0.65</v>
      </c>
      <c r="R24" s="2">
        <f>IF(Scenarios!D7=1, Q24*H24, H24)</f>
        <v>938384.57490393298</v>
      </c>
      <c r="S24" s="2">
        <f>IF(Scenarios!E7=1, Q24*I24, I24)</f>
        <v>1080785.3469710669</v>
      </c>
      <c r="T24" s="2">
        <f>IF(C24="FY2026", (Scenarios!D7+Scenarios!E7)*BaselineCalc!$B$22, 0)</f>
        <v>0</v>
      </c>
      <c r="U24" s="2">
        <f t="shared" si="3"/>
        <v>6853176.8447890766</v>
      </c>
      <c r="V24" s="2">
        <f t="shared" si="4"/>
        <v>0</v>
      </c>
      <c r="W24" s="2">
        <f>U24+V24+IF(Parameters_Public!$C$28=1, T24, 0)</f>
        <v>6853176.8447890766</v>
      </c>
      <c r="X24" s="2">
        <f t="shared" si="5"/>
        <v>12392.724854953121</v>
      </c>
      <c r="Y24" s="2">
        <f>INDEX(YearMap!$I$2:$I$6, MATCH(C24, YearMap!$A$2:$A$6, 0))</f>
        <v>5266.7831249999999</v>
      </c>
      <c r="Z24" s="2">
        <f>W24 - ((Y24 + IF(Parameters_Public!$C$20=1, Parameters_Public!$C$19, 0))*AC24)</f>
        <v>3524817.4266640767</v>
      </c>
      <c r="AA24" s="2">
        <f t="shared" si="6"/>
        <v>6373.9917299531226</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(1-Parameters_Public!$C$43)*$G24*$AB24*$J24*(1-$K24)) + AB24*INDEX(YearMap!$Q$2:$Q$6, MATCH(C24, YearMap!$A$2:$A$6, 0))</f>
        <v>6853176.8447890766</v>
      </c>
      <c r="AF24" s="2">
        <f t="shared" si="8"/>
        <v>-482588.86644532718</v>
      </c>
      <c r="AG24" t="str">
        <f t="shared" si="9"/>
        <v>B2_StatusQuo_Steady|FY2028</v>
      </c>
    </row>
    <row r="25" spans="1:33" x14ac:dyDescent="0.35">
      <c r="A25" t="str">
        <f t="shared" si="0"/>
        <v>B2_StatusQuo_Steady|FY2029</v>
      </c>
      <c r="B25" t="str">
        <f>Scenarios!A7</f>
        <v>B2_StatusQuo_Steady</v>
      </c>
      <c r="C25" t="s">
        <v>190</v>
      </c>
      <c r="D25">
        <f>IF(Scenarios!D7=1,0, L25)</f>
        <v>257</v>
      </c>
      <c r="E25">
        <f>IF(Scenarios!E7=1,0, M25)</f>
        <v>296</v>
      </c>
      <c r="F25">
        <f t="shared" si="1"/>
        <v>553</v>
      </c>
      <c r="G25" s="2">
        <f>YearMap!B5</f>
        <v>9049.5031953810158</v>
      </c>
      <c r="H25" s="2">
        <f>YearMap!C5</f>
        <v>961844.18927653122</v>
      </c>
      <c r="I25" s="2">
        <f>YearMap!D5</f>
        <v>1107804.9806453434</v>
      </c>
      <c r="J25">
        <f>1-BaselineCalc!$B$5</f>
        <v>0.99299999999999999</v>
      </c>
      <c r="K25">
        <f>Scenarios!G7</f>
        <v>0</v>
      </c>
      <c r="L25">
        <f>IF(Scenarios!$Q7=1,BaselineCalc!$B$7*(1+Parameters_Public!$C44)^(IF($C25="FY2026",0,IF($C25="FY2027",1,IF($C25="FY2028",2,IF($C25="FY2029",3,IF($C25="FY2030",4,0))))))+ROUND(Scenarios!L7*Scenarios!$F7,0),BaselineCalc!$B$7+ROUND(Scenarios!L7*Scenarios!$F7,0))</f>
        <v>257</v>
      </c>
      <c r="M25">
        <f>IF(Scenarios!$R7=1,BaselineCalc!$B$8*(1+Parameters_Public!$C45)^(IF($C25="FY2026",0,IF($C25="FY2027",1,IF($C25="FY2028",2,IF($C25="FY2029",3,IF($C25="FY2030",4,0))))))+Scenarios!L7-ROUND(Scenarios!L7*Scenarios!$F7,0),BaselineCalc!$B$8+Scenarios!L7-ROUND(Scenarios!L7*Scenarios!$F7,0))</f>
        <v>296</v>
      </c>
      <c r="N25" s="11">
        <f t="shared" si="2"/>
        <v>0</v>
      </c>
      <c r="O25" s="11">
        <f>(Parameters_Public!$C$23*(L25-D25)+Parameters_Public!$C$24*(M25-E25))</f>
        <v>0</v>
      </c>
      <c r="P25">
        <f>YearMap!E5</f>
        <v>500</v>
      </c>
      <c r="Q25">
        <f>IF(Scenarios!N7="lease", YearMap!F5, YearMap!G5)</f>
        <v>0.6</v>
      </c>
      <c r="R25" s="2">
        <f>IF(Scenarios!D7=1, Q25*H25, H25)</f>
        <v>961844.18927653122</v>
      </c>
      <c r="S25" s="2">
        <f>IF(Scenarios!E7=1, Q25*I25, I25)</f>
        <v>1107804.9806453434</v>
      </c>
      <c r="T25" s="2">
        <f>IF(C25="FY2026", (Scenarios!D7+Scenarios!E7)*BaselineCalc!$B$22, 0)</f>
        <v>0</v>
      </c>
      <c r="U25" s="2">
        <f t="shared" si="3"/>
        <v>7024506.2659088029</v>
      </c>
      <c r="V25" s="2">
        <f t="shared" si="4"/>
        <v>0</v>
      </c>
      <c r="W25" s="2">
        <f>U25+V25+IF(Parameters_Public!$C$28=1,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(1-Parameters_Public!$C$43)*$G25*$AB25*$J25*(1-$K25)) + AB25*INDEX(YearMap!$Q$2:$Q$6, MATCH(C25, YearMap!$A$2:$A$6, 0))</f>
        <v>7024506.2659088029</v>
      </c>
      <c r="AF25" s="2">
        <f t="shared" si="8"/>
        <v>-494653.58810645994</v>
      </c>
      <c r="AG25" t="str">
        <f t="shared" si="9"/>
        <v>B2_StatusQuo_Steady|FY2029</v>
      </c>
    </row>
    <row r="26" spans="1:33" x14ac:dyDescent="0.35">
      <c r="A26" t="str">
        <f t="shared" si="0"/>
        <v>B2_StatusQuo_Steady|FY2030</v>
      </c>
      <c r="B26" t="str">
        <f>Scenarios!A7</f>
        <v>B2_StatusQuo_Steady</v>
      </c>
      <c r="C26" t="s">
        <v>102</v>
      </c>
      <c r="D26">
        <f>IF(Scenarios!D7=1,0, L26)</f>
        <v>257</v>
      </c>
      <c r="E26">
        <f>IF(Scenarios!E7=1,0, M26)</f>
        <v>296</v>
      </c>
      <c r="F26">
        <f t="shared" si="1"/>
        <v>553</v>
      </c>
      <c r="G26" s="2">
        <f>YearMap!B6</f>
        <v>9275.7407752655399</v>
      </c>
      <c r="H26" s="2">
        <f>YearMap!C6</f>
        <v>985890.29400844453</v>
      </c>
      <c r="I26" s="2">
        <f>YearMap!D6</f>
        <v>1135500.1051614769</v>
      </c>
      <c r="J26">
        <f>1-BaselineCalc!$B$5</f>
        <v>0.99299999999999999</v>
      </c>
      <c r="K26">
        <f>Scenarios!G7</f>
        <v>0</v>
      </c>
      <c r="L26">
        <f>IF(Scenarios!$Q7=1,BaselineCalc!$B$7*(1+Parameters_Public!$C44)^(IF($C26="FY2026",0,IF($C26="FY2027",1,IF($C26="FY2028",2,IF($C26="FY2029",3,IF($C26="FY2030",4,0))))))+ROUND(Scenarios!M7*Scenarios!$F7,0),BaselineCalc!$B$7+ROUND(Scenarios!M7*Scenarios!$F7,0))</f>
        <v>257</v>
      </c>
      <c r="M26">
        <f>IF(Scenarios!$R7=1,BaselineCalc!$B$8*(1+Parameters_Public!$C45)^(IF($C26="FY2026",0,IF($C26="FY2027",1,IF($C26="FY2028",2,IF($C26="FY2029",3,IF($C26="FY2030",4,0))))))+Scenarios!M7-ROUND(Scenarios!M7*Scenarios!$F7,0),BaselineCalc!$B$8+Scenarios!M7-ROUND(Scenarios!M7*Scenarios!$F7,0))</f>
        <v>296</v>
      </c>
      <c r="N26" s="11">
        <f t="shared" si="2"/>
        <v>0</v>
      </c>
      <c r="O26" s="11">
        <f>(Parameters_Public!$C$23*(L26-D26)+Parameters_Public!$C$24*(M26-E26))</f>
        <v>0</v>
      </c>
      <c r="P26">
        <f>YearMap!E6</f>
        <v>300</v>
      </c>
      <c r="Q26">
        <f>IF(Scenarios!N7="lease", YearMap!F6, YearMap!G6)</f>
        <v>0.6</v>
      </c>
      <c r="R26" s="2">
        <f>IF(Scenarios!D7=1, Q26*H26, H26)</f>
        <v>985890.29400844453</v>
      </c>
      <c r="S26" s="2">
        <f>IF(Scenarios!E7=1, Q26*I26, I26)</f>
        <v>1135500.1051614769</v>
      </c>
      <c r="T26" s="2">
        <f>IF(C26="FY2026", (Scenarios!D7+Scenarios!E7)*BaselineCalc!$B$22, 0)</f>
        <v>0</v>
      </c>
      <c r="U26" s="2">
        <f t="shared" si="3"/>
        <v>7200118.9225565232</v>
      </c>
      <c r="V26" s="2">
        <f t="shared" si="4"/>
        <v>0</v>
      </c>
      <c r="W26" s="2">
        <f>U26+V26+IF(Parameters_Public!$C$28=1,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(1-Parameters_Public!$C$43)*$G26*$AB26*$J26*(1-$K26)) + AB26*INDEX(YearMap!$Q$2:$Q$6, MATCH(C26, YearMap!$A$2:$A$6, 0))</f>
        <v>7200118.9225565232</v>
      </c>
      <c r="AF26" s="2">
        <f t="shared" si="8"/>
        <v>-507019.92780912202</v>
      </c>
      <c r="AG26" t="str">
        <f t="shared" si="9"/>
        <v>B2_StatusQuo_Steady|FY2030</v>
      </c>
    </row>
    <row r="27" spans="1:33" x14ac:dyDescent="0.35">
      <c r="A27" t="str">
        <f t="shared" si="0"/>
        <v>D2_EchoGHubRamp_PimaTargets|FY2026</v>
      </c>
      <c r="B27" t="str">
        <f>Scenarios!A8</f>
        <v>D2_EchoGHubRamp_PimaTargets</v>
      </c>
      <c r="C27" t="s">
        <v>187</v>
      </c>
      <c r="D27">
        <f>IF(Scenarios!D8=1,0, L27)</f>
        <v>286</v>
      </c>
      <c r="E27">
        <f>IF(Scenarios!E8=1,0, M27)</f>
        <v>308.66666666666669</v>
      </c>
      <c r="F27">
        <f t="shared" si="1"/>
        <v>594.66666666666674</v>
      </c>
      <c r="G27" s="2">
        <f>YearMap!B2</f>
        <v>8403.3633363471963</v>
      </c>
      <c r="H27" s="2">
        <f>YearMap!C2</f>
        <v>922499.99999999988</v>
      </c>
      <c r="I27" s="2">
        <f>YearMap!D2</f>
        <v>999374.99999999988</v>
      </c>
      <c r="J27">
        <f>1-BaselineCalc!$B$5</f>
        <v>0.99299999999999999</v>
      </c>
      <c r="K27">
        <f>Scenarios!G8</f>
        <v>0</v>
      </c>
      <c r="L27">
        <f>IF(Scenarios!$Q8=1,BaselineCalc!$B$7*(1+Parameters_Public!$C44)^(IF($C27="FY2026",0,IF($C27="FY2027",1,IF($C27="FY2028",2,IF($C27="FY2029",3,IF($C27="FY2030",4,0))))))+ROUND(Scenarios!I8*Scenarios!$F8,0),BaselineCalc!$B$7+ROUND(Scenarios!I8*Scenarios!$F8,0))</f>
        <v>286</v>
      </c>
      <c r="M27">
        <f>IF(Scenarios!$R8=1,BaselineCalc!$B$8*(1+Parameters_Public!$C45)^(IF($C27="FY2026",0,IF($C27="FY2027",1,IF($C27="FY2028",2,IF($C27="FY2029",3,IF($C27="FY2030",4,0))))))+Scenarios!I8-ROUND(Scenarios!I8*Scenarios!$F8,0),BaselineCalc!$B$8+Scenarios!I8-ROUND(Scenarios!I8*Scenarios!$F8,0))</f>
        <v>308.66666666666669</v>
      </c>
      <c r="N27" s="11">
        <f t="shared" si="2"/>
        <v>0</v>
      </c>
      <c r="O27" s="11">
        <f>(Parameters_Public!$C$23*(L27-D27)+Parameters_Public!$C$24*(M27-E27))</f>
        <v>0</v>
      </c>
      <c r="P27">
        <f>YearMap!E2</f>
        <v>1000</v>
      </c>
      <c r="Q27">
        <f>IF(Scenarios!N8="lease", YearMap!F2, YearMap!G2)</f>
        <v>0.75</v>
      </c>
      <c r="R27" s="2">
        <f>IF(Scenarios!D8=1, Q27*H27, H27)</f>
        <v>922499.99999999988</v>
      </c>
      <c r="S27" s="2">
        <f>IF(Scenarios!E8=1, Q27*I27, I27)</f>
        <v>999374.99999999988</v>
      </c>
      <c r="T27" s="2">
        <f>IF(C27="FY2026", (Scenarios!D8+Scenarios!E8)*BaselineCalc!$B$22, 0)</f>
        <v>0</v>
      </c>
      <c r="U27" s="2">
        <f t="shared" si="3"/>
        <v>6870641.5385663649</v>
      </c>
      <c r="V27" s="2">
        <f t="shared" si="4"/>
        <v>0</v>
      </c>
      <c r="W27" s="2">
        <f>U27+V27+IF(Parameters_Public!$C$28=1, T27, 0)</f>
        <v>6870641.5385663649</v>
      </c>
      <c r="X27" s="2">
        <f t="shared" si="5"/>
        <v>11553.769403418773</v>
      </c>
      <c r="Y27" s="2">
        <f>INDEX(YearMap!$I$2:$I$6, MATCH(C27, YearMap!$A$2:$A$6, 0))</f>
        <v>5013</v>
      </c>
      <c r="Z27" s="2">
        <f>W27 - ((Y27 + IF(Parameters_Public!$C$20=1, Parameters_Public!$C$19, 0))*AC27)</f>
        <v>3442417.9385663643</v>
      </c>
      <c r="AA27" s="2">
        <f t="shared" si="6"/>
        <v>5788.8194034187736</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(1-Parameters_Public!$C$43)*$G27*$AB27*$J27*(1-$K27)) + AB27*INDEX(YearMap!$Q$2:$Q$6, MATCH(C27, YearMap!$A$2:$A$6, 0))</f>
        <v>6739899.2086831518</v>
      </c>
      <c r="AF27" s="2">
        <f t="shared" si="8"/>
        <v>-251908.94201648422</v>
      </c>
      <c r="AG27" t="str">
        <f t="shared" si="9"/>
        <v>D2_EchoGHubRamp_PimaTargets|FY2026</v>
      </c>
    </row>
    <row r="28" spans="1:33" x14ac:dyDescent="0.35">
      <c r="A28" t="str">
        <f t="shared" si="0"/>
        <v>D2_EchoGHubRamp_PimaTargets|FY2027</v>
      </c>
      <c r="B28" t="str">
        <f>Scenarios!A8</f>
        <v>D2_EchoGHubRamp_PimaTargets</v>
      </c>
      <c r="C28" t="s">
        <v>188</v>
      </c>
      <c r="D28">
        <f>IF(Scenarios!D8=1,0, L28)</f>
        <v>315</v>
      </c>
      <c r="E28">
        <f>IF(Scenarios!E8=1,0, M28)</f>
        <v>321.33333333333331</v>
      </c>
      <c r="F28">
        <f t="shared" si="1"/>
        <v>636.33333333333326</v>
      </c>
      <c r="G28" s="2">
        <f>YearMap!B3</f>
        <v>8613.4474197558757</v>
      </c>
      <c r="H28" s="2">
        <f>YearMap!C3</f>
        <v>915497.14624773955</v>
      </c>
      <c r="I28" s="2">
        <f>YearMap!D3</f>
        <v>1054424.7287522603</v>
      </c>
      <c r="J28">
        <f>1-BaselineCalc!$B$5</f>
        <v>0.99299999999999999</v>
      </c>
      <c r="K28">
        <f>Scenarios!G8</f>
        <v>0</v>
      </c>
      <c r="L28">
        <f>IF(Scenarios!$Q8=1,BaselineCalc!$B$7*(1+Parameters_Public!$C44)^(IF($C28="FY2026",0,IF($C28="FY2027",1,IF($C28="FY2028",2,IF($C28="FY2029",3,IF($C28="FY2030",4,0))))))+ROUND(Scenarios!J8*Scenarios!$F8,0),BaselineCalc!$B$7+ROUND(Scenarios!J8*Scenarios!$F8,0))</f>
        <v>315</v>
      </c>
      <c r="M28">
        <f>IF(Scenarios!$R8=1,BaselineCalc!$B$8*(1+Parameters_Public!$C45)^(IF($C28="FY2026",0,IF($C28="FY2027",1,IF($C28="FY2028",2,IF($C28="FY2029",3,IF($C28="FY2030",4,0))))))+Scenarios!J8-ROUND(Scenarios!J8*Scenarios!$F8,0),BaselineCalc!$B$8+Scenarios!J8-ROUND(Scenarios!J8*Scenarios!$F8,0))</f>
        <v>321.33333333333331</v>
      </c>
      <c r="N28" s="11">
        <f t="shared" si="2"/>
        <v>0</v>
      </c>
      <c r="O28" s="11">
        <f>(Parameters_Public!$C$23*(L28-D28)+Parameters_Public!$C$24*(M28-E28))</f>
        <v>0</v>
      </c>
      <c r="P28">
        <f>YearMap!E3</f>
        <v>800</v>
      </c>
      <c r="Q28">
        <f>IF(Scenarios!N8="lease", YearMap!F3, YearMap!G3)</f>
        <v>0.7</v>
      </c>
      <c r="R28" s="2">
        <f>IF(Scenarios!D8=1, Q28*H28, H28)</f>
        <v>915497.14624773955</v>
      </c>
      <c r="S28" s="2">
        <f>IF(Scenarios!E8=1, Q28*I28, I28)</f>
        <v>1054424.7287522603</v>
      </c>
      <c r="T28" s="2">
        <f>IF(C28="FY2026", (Scenarios!D8+Scenarios!E8)*BaselineCalc!$B$22, 0)</f>
        <v>0</v>
      </c>
      <c r="U28" s="2">
        <f t="shared" si="3"/>
        <v>7398788.9640229223</v>
      </c>
      <c r="V28" s="2">
        <f t="shared" si="4"/>
        <v>0</v>
      </c>
      <c r="W28" s="2">
        <f>U28+V28+IF(Parameters_Public!$C$28=1, T28, 0)</f>
        <v>7398788.9640229223</v>
      </c>
      <c r="X28" s="2">
        <f t="shared" si="5"/>
        <v>11627.222049276465</v>
      </c>
      <c r="Y28" s="2">
        <f>INDEX(YearMap!$I$2:$I$6, MATCH(C28, YearMap!$A$2:$A$6, 0))</f>
        <v>5138.3249999999998</v>
      </c>
      <c r="Z28" s="2">
        <f>W28 - ((Y28 + IF(Parameters_Public!$C$20=1, Parameters_Public!$C$19, 0))*AC28)</f>
        <v>3650610.6390229231</v>
      </c>
      <c r="AA28" s="2">
        <f t="shared" si="6"/>
        <v>5736.947049276464</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(1-Parameters_Public!$C$43)*$G28*$AB28*$J28*(1-$K28)) + AB28*INDEX(YearMap!$Q$2:$Q$6, MATCH(C28, YearMap!$A$2:$A$6, 0))</f>
        <v>7127017.1877623359</v>
      </c>
      <c r="AF28" s="2">
        <f t="shared" si="8"/>
        <v>-41844.92484567035</v>
      </c>
      <c r="AG28" t="str">
        <f t="shared" si="9"/>
        <v>D2_EchoGHubRamp_PimaTargets|FY2027</v>
      </c>
    </row>
    <row r="29" spans="1:33" x14ac:dyDescent="0.35">
      <c r="A29" t="str">
        <f t="shared" si="0"/>
        <v>D2_EchoGHubRamp_PimaTargets|FY2028</v>
      </c>
      <c r="B29" t="str">
        <f>Scenarios!A8</f>
        <v>D2_EchoGHubRamp_PimaTargets</v>
      </c>
      <c r="C29" t="s">
        <v>189</v>
      </c>
      <c r="D29">
        <f>IF(Scenarios!D8=1,0, L29)</f>
        <v>345</v>
      </c>
      <c r="E29">
        <f>IF(Scenarios!E8=1,0, M29)</f>
        <v>333</v>
      </c>
      <c r="F29">
        <f t="shared" si="1"/>
        <v>678</v>
      </c>
      <c r="G29" s="2">
        <f>YearMap!B4</f>
        <v>8828.7836052497714</v>
      </c>
      <c r="H29" s="2">
        <f>YearMap!C4</f>
        <v>938384.57490393298</v>
      </c>
      <c r="I29" s="2">
        <f>YearMap!D4</f>
        <v>1080785.3469710669</v>
      </c>
      <c r="J29">
        <f>1-BaselineCalc!$B$5</f>
        <v>0.99299999999999999</v>
      </c>
      <c r="K29">
        <f>Scenarios!G8</f>
        <v>0</v>
      </c>
      <c r="L29">
        <f>IF(Scenarios!$Q8=1,BaselineCalc!$B$7*(1+Parameters_Public!$C44)^(IF($C29="FY2026",0,IF($C29="FY2027",1,IF($C29="FY2028",2,IF($C29="FY2029",3,IF($C29="FY2030",4,0))))))+ROUND(Scenarios!K8*Scenarios!$F8,0),BaselineCalc!$B$7+ROUND(Scenarios!K8*Scenarios!$F8,0))</f>
        <v>345</v>
      </c>
      <c r="M29">
        <f>IF(Scenarios!$R8=1,BaselineCalc!$B$8*(1+Parameters_Public!$C45)^(IF($C29="FY2026",0,IF($C29="FY2027",1,IF($C29="FY2028",2,IF($C29="FY2029",3,IF($C29="FY2030",4,0))))))+Scenarios!K8-ROUND(Scenarios!K8*Scenarios!$F8,0),BaselineCalc!$B$8+Scenarios!K8-ROUND(Scenarios!K8*Scenarios!$F8,0))</f>
        <v>333</v>
      </c>
      <c r="N29" s="11">
        <f t="shared" si="2"/>
        <v>0</v>
      </c>
      <c r="O29" s="11">
        <f>(Parameters_Public!$C$23*(L29-D29)+Parameters_Public!$C$24*(M29-E29))</f>
        <v>0</v>
      </c>
      <c r="P29">
        <f>YearMap!E4</f>
        <v>600</v>
      </c>
      <c r="Q29">
        <f>IF(Scenarios!N8="lease", YearMap!F4, YearMap!G4)</f>
        <v>0.65</v>
      </c>
      <c r="R29" s="2">
        <f>IF(Scenarios!D8=1, Q29*H29, H29)</f>
        <v>938384.57490393298</v>
      </c>
      <c r="S29" s="2">
        <f>IF(Scenarios!E8=1, Q29*I29, I29)</f>
        <v>1080785.3469710669</v>
      </c>
      <c r="T29" s="2">
        <f>IF(C29="FY2026", (Scenarios!D8+Scenarios!E8)*BaselineCalc!$B$22, 0)</f>
        <v>0</v>
      </c>
      <c r="U29" s="2">
        <f t="shared" si="3"/>
        <v>7949049.6097907051</v>
      </c>
      <c r="V29" s="2">
        <f t="shared" si="4"/>
        <v>0</v>
      </c>
      <c r="W29" s="2">
        <f>U29+V29+IF(Parameters_Public!$C$28=1, T29, 0)</f>
        <v>7949049.6097907051</v>
      </c>
      <c r="X29" s="2">
        <f t="shared" si="5"/>
        <v>11724.261961343223</v>
      </c>
      <c r="Y29" s="2">
        <f>INDEX(YearMap!$I$2:$I$6, MATCH(C29, YearMap!$A$2:$A$6, 0))</f>
        <v>5266.7831249999999</v>
      </c>
      <c r="Z29" s="2">
        <f>W29 - ((Y29 + IF(Parameters_Public!$C$20=1, Parameters_Public!$C$19, 0))*AC29)</f>
        <v>3868348.5510407053</v>
      </c>
      <c r="AA29" s="2">
        <f t="shared" si="6"/>
        <v>5705.5288363432228</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(1-Parameters_Public!$C$43)*$G29*$AB29*$J29*(1-$K29)) + AB29*INDEX(YearMap!$Q$2:$Q$6, MATCH(C29, YearMap!$A$2:$A$6, 0))</f>
        <v>7525700.5037900535</v>
      </c>
      <c r="AF29" s="2">
        <f t="shared" si="8"/>
        <v>182457.86127244681</v>
      </c>
      <c r="AG29" t="str">
        <f t="shared" si="9"/>
        <v>D2_EchoGHubRamp_PimaTargets|FY2028</v>
      </c>
    </row>
    <row r="30" spans="1:33" x14ac:dyDescent="0.35">
      <c r="A30" t="str">
        <f t="shared" si="0"/>
        <v>D2_EchoGHubRamp_PimaTargets|FY2029</v>
      </c>
      <c r="B30" t="str">
        <f>Scenarios!A8</f>
        <v>D2_EchoGHubRamp_PimaTargets</v>
      </c>
      <c r="C30" t="s">
        <v>190</v>
      </c>
      <c r="D30">
        <f>IF(Scenarios!D8=1,0, L30)</f>
        <v>345</v>
      </c>
      <c r="E30">
        <f>IF(Scenarios!E8=1,0, M30)</f>
        <v>333</v>
      </c>
      <c r="F30">
        <f t="shared" si="1"/>
        <v>678</v>
      </c>
      <c r="G30" s="2">
        <f>YearMap!B5</f>
        <v>9049.5031953810158</v>
      </c>
      <c r="H30" s="2">
        <f>YearMap!C5</f>
        <v>961844.18927653122</v>
      </c>
      <c r="I30" s="2">
        <f>YearMap!D5</f>
        <v>1107804.9806453434</v>
      </c>
      <c r="J30">
        <f>1-BaselineCalc!$B$5</f>
        <v>0.99299999999999999</v>
      </c>
      <c r="K30">
        <f>Scenarios!G8</f>
        <v>0</v>
      </c>
      <c r="L30">
        <f>IF(Scenarios!$Q8=1,BaselineCalc!$B$7*(1+Parameters_Public!$C44)^(IF($C30="FY2026",0,IF($C30="FY2027",1,IF($C30="FY2028",2,IF($C30="FY2029",3,IF($C30="FY2030",4,0))))))+ROUND(Scenarios!L8*Scenarios!$F8,0),BaselineCalc!$B$7+ROUND(Scenarios!L8*Scenarios!$F8,0))</f>
        <v>345</v>
      </c>
      <c r="M30">
        <f>IF(Scenarios!$R8=1,BaselineCalc!$B$8*(1+Parameters_Public!$C45)^(IF($C30="FY2026",0,IF($C30="FY2027",1,IF($C30="FY2028",2,IF($C30="FY2029",3,IF($C30="FY2030",4,0))))))+Scenarios!L8-ROUND(Scenarios!L8*Scenarios!$F8,0),BaselineCalc!$B$8+Scenarios!L8-ROUND(Scenarios!L8*Scenarios!$F8,0))</f>
        <v>333</v>
      </c>
      <c r="N30" s="11">
        <f t="shared" si="2"/>
        <v>0</v>
      </c>
      <c r="O30" s="11">
        <f>(Parameters_Public!$C$23*(L30-D30)+Parameters_Public!$C$24*(M30-E30))</f>
        <v>0</v>
      </c>
      <c r="P30">
        <f>YearMap!E5</f>
        <v>500</v>
      </c>
      <c r="Q30">
        <f>IF(Scenarios!N8="lease", YearMap!F5, YearMap!G5)</f>
        <v>0.6</v>
      </c>
      <c r="R30" s="2">
        <f>IF(Scenarios!D8=1, Q30*H30, H30)</f>
        <v>961844.18927653122</v>
      </c>
      <c r="S30" s="2">
        <f>IF(Scenarios!E8=1, Q30*I30, I30)</f>
        <v>1107804.9806453434</v>
      </c>
      <c r="T30" s="2">
        <f>IF(C30="FY2026", (Scenarios!D8+Scenarios!E8)*BaselineCalc!$B$22, 0)</f>
        <v>0</v>
      </c>
      <c r="U30" s="2">
        <f t="shared" si="3"/>
        <v>8147775.8500354718</v>
      </c>
      <c r="V30" s="2">
        <f t="shared" si="4"/>
        <v>0</v>
      </c>
      <c r="W30" s="2">
        <f>U30+V30+IF(Parameters_Public!$C$28=1, T30, 0)</f>
        <v>8147775.8500354718</v>
      </c>
      <c r="X30" s="2">
        <f t="shared" si="5"/>
        <v>12017.368510376802</v>
      </c>
      <c r="Y30" s="2">
        <f>INDEX(YearMap!$I$2:$I$6, MATCH(C30, YearMap!$A$2:$A$6, 0))</f>
        <v>5398.4527031249991</v>
      </c>
      <c r="Z30" s="2">
        <f>W30 - ((Y30 + IF(Parameters_Public!$C$20=1, Parameters_Public!$C$19, 0))*AC30)</f>
        <v>3977802.8173167226</v>
      </c>
      <c r="AA30" s="2">
        <f t="shared" si="6"/>
        <v>5866.9658072518032</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(1-Parameters_Public!$C$43)*$G30*$AB30*$J30*(1-$K30)) + AB30*INDEX(YearMap!$Q$2:$Q$6, MATCH(C30, YearMap!$A$2:$A$6, 0))</f>
        <v>7710968.0163848046</v>
      </c>
      <c r="AF30" s="2">
        <f t="shared" si="8"/>
        <v>189894.30780425668</v>
      </c>
      <c r="AG30" t="str">
        <f t="shared" si="9"/>
        <v>D2_EchoGHubRamp_PimaTargets|FY2029</v>
      </c>
    </row>
    <row r="31" spans="1:33" x14ac:dyDescent="0.35">
      <c r="A31" t="str">
        <f t="shared" si="0"/>
        <v>D2_EchoGHubRamp_PimaTargets|FY2030</v>
      </c>
      <c r="B31" t="str">
        <f>Scenarios!A8</f>
        <v>D2_EchoGHubRamp_PimaTargets</v>
      </c>
      <c r="C31" t="s">
        <v>102</v>
      </c>
      <c r="D31">
        <f>IF(Scenarios!D8=1,0, L31)</f>
        <v>345</v>
      </c>
      <c r="E31">
        <f>IF(Scenarios!E8=1,0, M31)</f>
        <v>333</v>
      </c>
      <c r="F31">
        <f t="shared" si="1"/>
        <v>678</v>
      </c>
      <c r="G31" s="2">
        <f>YearMap!B6</f>
        <v>9275.7407752655399</v>
      </c>
      <c r="H31" s="2">
        <f>YearMap!C6</f>
        <v>985890.29400844453</v>
      </c>
      <c r="I31" s="2">
        <f>YearMap!D6</f>
        <v>1135500.1051614769</v>
      </c>
      <c r="J31">
        <f>1-BaselineCalc!$B$5</f>
        <v>0.99299999999999999</v>
      </c>
      <c r="K31">
        <f>Scenarios!G8</f>
        <v>0</v>
      </c>
      <c r="L31">
        <f>IF(Scenarios!$Q8=1,BaselineCalc!$B$7*(1+Parameters_Public!$C44)^(IF($C31="FY2026",0,IF($C31="FY2027",1,IF($C31="FY2028",2,IF($C31="FY2029",3,IF($C31="FY2030",4,0))))))+ROUND(Scenarios!M8*Scenarios!$F8,0),BaselineCalc!$B$7+ROUND(Scenarios!M8*Scenarios!$F8,0))</f>
        <v>345</v>
      </c>
      <c r="M31">
        <f>IF(Scenarios!$R8=1,BaselineCalc!$B$8*(1+Parameters_Public!$C45)^(IF($C31="FY2026",0,IF($C31="FY2027",1,IF($C31="FY2028",2,IF($C31="FY2029",3,IF($C31="FY2030",4,0))))))+Scenarios!M8-ROUND(Scenarios!M8*Scenarios!$F8,0),BaselineCalc!$B$8+Scenarios!M8-ROUND(Scenarios!M8*Scenarios!$F8,0))</f>
        <v>333</v>
      </c>
      <c r="N31" s="11">
        <f t="shared" si="2"/>
        <v>0</v>
      </c>
      <c r="O31" s="11">
        <f>(Parameters_Public!$C$23*(L31-D31)+Parameters_Public!$C$24*(M31-E31))</f>
        <v>0</v>
      </c>
      <c r="P31">
        <f>YearMap!E6</f>
        <v>300</v>
      </c>
      <c r="Q31">
        <f>IF(Scenarios!N8="lease", YearMap!F6, YearMap!G6)</f>
        <v>0.6</v>
      </c>
      <c r="R31" s="2">
        <f>IF(Scenarios!D8=1, Q31*H31, H31)</f>
        <v>985890.29400844453</v>
      </c>
      <c r="S31" s="2">
        <f>IF(Scenarios!E8=1, Q31*I31, I31)</f>
        <v>1135500.1051614769</v>
      </c>
      <c r="T31" s="2">
        <f>IF(C31="FY2026", (Scenarios!D8+Scenarios!E8)*BaselineCalc!$B$22, 0)</f>
        <v>0</v>
      </c>
      <c r="U31" s="2">
        <f t="shared" si="3"/>
        <v>8351470.2462863578</v>
      </c>
      <c r="V31" s="2">
        <f t="shared" si="4"/>
        <v>0</v>
      </c>
      <c r="W31" s="2">
        <f>U31+V31+IF(Parameters_Public!$C$28=1, T31, 0)</f>
        <v>8351470.2462863578</v>
      </c>
      <c r="X31" s="2">
        <f t="shared" si="5"/>
        <v>12317.802723136221</v>
      </c>
      <c r="Y31" s="2">
        <f>INDEX(YearMap!$I$2:$I$6, MATCH(C31, YearMap!$A$2:$A$6, 0))</f>
        <v>5533.4140207031242</v>
      </c>
      <c r="Z31" s="2">
        <f>W31 - ((Y31 + IF(Parameters_Public!$C$20=1, Parameters_Public!$C$19, 0))*AC31)</f>
        <v>4089993.4402496396</v>
      </c>
      <c r="AA31" s="2">
        <f t="shared" si="6"/>
        <v>6032.4387024330963</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(1-Parameters_Public!$C$43)*$G31*$AB31*$J31*(1-$K31)) + AB31*INDEX(YearMap!$Q$2:$Q$6, MATCH(C31, YearMap!$A$2:$A$6, 0))</f>
        <v>7898429.7167944238</v>
      </c>
      <c r="AF31" s="2">
        <f t="shared" si="8"/>
        <v>199954.16549936403</v>
      </c>
      <c r="AG31" t="str">
        <f t="shared" si="9"/>
        <v>D2_EchoGHubRamp_PimaTargets|FY2030</v>
      </c>
    </row>
    <row r="32" spans="1:33" x14ac:dyDescent="0.35">
      <c r="A32" t="str">
        <f t="shared" si="0"/>
        <v>A1_Repurpose_Both_ops|FY2026</v>
      </c>
      <c r="B32" t="str">
        <f>Scenarios!A9</f>
        <v>A1_Repurpose_Both_ops</v>
      </c>
      <c r="C32" t="s">
        <v>187</v>
      </c>
      <c r="D32">
        <f>IF(Scenarios!D9=1,0, L32)</f>
        <v>0</v>
      </c>
      <c r="E32">
        <f>IF(Scenarios!E9=1,0, M32)</f>
        <v>0</v>
      </c>
      <c r="F32">
        <f t="shared" si="1"/>
        <v>0</v>
      </c>
      <c r="G32" s="2">
        <f>YearMap!B2</f>
        <v>8403.3633363471963</v>
      </c>
      <c r="H32" s="2">
        <f>YearMap!C2</f>
        <v>922499.99999999988</v>
      </c>
      <c r="I32" s="2">
        <f>YearMap!D2</f>
        <v>999374.99999999988</v>
      </c>
      <c r="J32">
        <f>1-BaselineCalc!$B$5</f>
        <v>0.99299999999999999</v>
      </c>
      <c r="K32">
        <f>Scenarios!G9</f>
        <v>0</v>
      </c>
      <c r="L32">
        <f>IF(Scenarios!$Q9=1,BaselineCalc!$B$7*(1+Parameters_Public!$C44)^(IF($C32="FY2026",0,IF($C32="FY2027",1,IF($C32="FY2028",2,IF($C32="FY2029",3,IF($C32="FY2030",4,0))))))+ROUND(Scenarios!I9*Scenarios!$F9,0),BaselineCalc!$B$7+ROUND(Scenarios!I9*Scenarios!$F9,0))</f>
        <v>257</v>
      </c>
      <c r="M32">
        <f>IF(Scenarios!$R9=1,BaselineCalc!$B$8*(1+Parameters_Public!$C45)^(IF($C32="FY2026",0,IF($C32="FY2027",1,IF($C32="FY2028",2,IF($C32="FY2029",3,IF($C32="FY2030",4,0))))))+Scenarios!I9-ROUND(Scenarios!I9*Scenarios!$F9,0),BaselineCalc!$B$8+Scenarios!I9-ROUND(Scenarios!I9*Scenarios!$F9,0))</f>
        <v>296</v>
      </c>
      <c r="N32" s="11">
        <f t="shared" si="2"/>
        <v>553</v>
      </c>
      <c r="O32" s="11">
        <f>(Parameters_Public!$C$23*(L32-D32)+Parameters_Public!$C$24*(M32-E32))</f>
        <v>405.79999999999995</v>
      </c>
      <c r="P32">
        <f>YearMap!E2</f>
        <v>1000</v>
      </c>
      <c r="Q32">
        <f>IF(Scenarios!N9="lease", YearMap!F2, YearMap!G2)</f>
        <v>0.75</v>
      </c>
      <c r="R32" s="2">
        <f>IF(Scenarios!D9=1, Q32*H32, H32)</f>
        <v>691874.99999999988</v>
      </c>
      <c r="S32" s="2">
        <f>IF(Scenarios!E9=1, Q32*I32, I32)</f>
        <v>749531.24999999988</v>
      </c>
      <c r="T32" s="2">
        <f>IF(C32="FY2026", (Scenarios!D9+Scenarios!E9)*BaselineCalc!$B$22, 0)</f>
        <v>2000000</v>
      </c>
      <c r="U32" s="2">
        <f t="shared" si="3"/>
        <v>1431316.4062499998</v>
      </c>
      <c r="V32" s="2">
        <f t="shared" si="4"/>
        <v>3815884.841889692</v>
      </c>
      <c r="W32" s="2">
        <f>U32+V32+IF(Parameters_Public!$C$28=1, T32, 0)</f>
        <v>5247201.2481396915</v>
      </c>
      <c r="X32" s="2">
        <f t="shared" si="5"/>
        <v>12930.510714981992</v>
      </c>
      <c r="Y32" s="2">
        <f>INDEX(YearMap!$I$2:$I$6, MATCH(C32, YearMap!$A$2:$A$6, 0))</f>
        <v>5013</v>
      </c>
      <c r="Z32" s="2">
        <f>W32 - ((Y32 + IF(Parameters_Public!$C$20=1, Parameters_Public!$C$19, 0))*AC32)</f>
        <v>2907784.538139692</v>
      </c>
      <c r="AA32" s="2">
        <f t="shared" si="6"/>
        <v>7165.5607149819916</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(1-Parameters_Public!$C$43)*$G32*$AB32*$J32*(1-$K32)) + AB32*INDEX(YearMap!$Q$2:$Q$6, MATCH(C32, YearMap!$A$2:$A$6, 0))</f>
        <v>5247201.2481396915</v>
      </c>
      <c r="AF32" s="2">
        <f t="shared" si="8"/>
        <v>-797624.53813969251</v>
      </c>
      <c r="AG32" t="str">
        <f t="shared" si="9"/>
        <v>A1_Repurpose_Both_ops|FY2026</v>
      </c>
    </row>
    <row r="33" spans="1:33" x14ac:dyDescent="0.35">
      <c r="A33" t="str">
        <f t="shared" ref="A33:A66" si="10">AG33</f>
        <v>A1_Repurpose_Both_ops|FY2027</v>
      </c>
      <c r="B33" t="str">
        <f>Scenarios!A9</f>
        <v>A1_Repurpose_Both_ops</v>
      </c>
      <c r="C33" t="s">
        <v>188</v>
      </c>
      <c r="D33">
        <f>IF(Scenarios!D9=1,0, L33)</f>
        <v>0</v>
      </c>
      <c r="E33">
        <f>IF(Scenarios!E9=1,0, M33)</f>
        <v>0</v>
      </c>
      <c r="F33">
        <f t="shared" si="1"/>
        <v>0</v>
      </c>
      <c r="G33" s="2">
        <f>YearMap!B3</f>
        <v>8613.4474197558757</v>
      </c>
      <c r="H33" s="2">
        <f>YearMap!C3</f>
        <v>915497.14624773955</v>
      </c>
      <c r="I33" s="2">
        <f>YearMap!D3</f>
        <v>1054424.7287522603</v>
      </c>
      <c r="J33">
        <f>1-BaselineCalc!$B$5</f>
        <v>0.99299999999999999</v>
      </c>
      <c r="K33">
        <f>Scenarios!G9</f>
        <v>0</v>
      </c>
      <c r="L33">
        <f>IF(Scenarios!$Q9=1,BaselineCalc!$B$7*(1+Parameters_Public!$C44)^(IF($C33="FY2026",0,IF($C33="FY2027",1,IF($C33="FY2028",2,IF($C33="FY2029",3,IF($C33="FY2030",4,0))))))+ROUND(Scenarios!J9*Scenarios!$F9,0),BaselineCalc!$B$7+ROUND(Scenarios!J9*Scenarios!$F9,0))</f>
        <v>257</v>
      </c>
      <c r="M33">
        <f>IF(Scenarios!$R9=1,BaselineCalc!$B$8*(1+Parameters_Public!$C45)^(IF($C33="FY2026",0,IF($C33="FY2027",1,IF($C33="FY2028",2,IF($C33="FY2029",3,IF($C33="FY2030",4,0))))))+Scenarios!J9-ROUND(Scenarios!J9*Scenarios!$F9,0),BaselineCalc!$B$8+Scenarios!J9-ROUND(Scenarios!J9*Scenarios!$F9,0))</f>
        <v>296</v>
      </c>
      <c r="N33" s="11">
        <f t="shared" si="2"/>
        <v>553</v>
      </c>
      <c r="O33" s="11">
        <f>(Parameters_Public!$C$23*(L33-D33)+Parameters_Public!$C$24*(M33-E33))</f>
        <v>405.79999999999995</v>
      </c>
      <c r="P33">
        <f>YearMap!E3</f>
        <v>800</v>
      </c>
      <c r="Q33">
        <f>IF(Scenarios!N9="lease", YearMap!F3, YearMap!G3)</f>
        <v>0.7</v>
      </c>
      <c r="R33" s="2">
        <f>IF(Scenarios!D9=1, Q33*H33, H33)</f>
        <v>640848.00237341761</v>
      </c>
      <c r="S33" s="2">
        <f>IF(Scenarios!E9=1, Q33*I33, I33)</f>
        <v>738097.31012658216</v>
      </c>
      <c r="T33" s="2">
        <f>IF(C33="FY2026", (Scenarios!D9+Scenarios!E9)*BaselineCalc!$B$22, 0)</f>
        <v>0</v>
      </c>
      <c r="U33" s="2">
        <f t="shared" si="3"/>
        <v>1369292.6953124998</v>
      </c>
      <c r="V33" s="2">
        <f t="shared" si="4"/>
        <v>3819976.9629369341</v>
      </c>
      <c r="W33" s="2">
        <f>U33+V33+IF(Parameters_Public!$C$28=1, T33, 0)</f>
        <v>5189269.6582494341</v>
      </c>
      <c r="X33" s="2">
        <f t="shared" si="5"/>
        <v>12787.751745316498</v>
      </c>
      <c r="Y33" s="2">
        <f>INDEX(YearMap!$I$2:$I$6, MATCH(C33, YearMap!$A$2:$A$6, 0))</f>
        <v>5138.3249999999998</v>
      </c>
      <c r="Z33" s="2">
        <f>W33 - ((Y33 + IF(Parameters_Public!$C$20=1, Parameters_Public!$C$19, 0))*AC33)</f>
        <v>2798996.0632494343</v>
      </c>
      <c r="AA33" s="2">
        <f t="shared" si="6"/>
        <v>6897.4767453164977</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(1-Parameters_Public!$C$43)*$G33*$AB33*$J33*(1-$K33)) + AB33*INDEX(YearMap!$Q$2:$Q$6, MATCH(C33, YearMap!$A$2:$A$6, 0))</f>
        <v>5189269.6582494341</v>
      </c>
      <c r="AF33" s="2">
        <f t="shared" si="8"/>
        <v>-628453.53049943503</v>
      </c>
      <c r="AG33" t="str">
        <f t="shared" si="9"/>
        <v>A1_Repurpose_Both_ops|FY2027</v>
      </c>
    </row>
    <row r="34" spans="1:33" x14ac:dyDescent="0.35">
      <c r="A34" t="str">
        <f t="shared" si="10"/>
        <v>A1_Repurpose_Both_ops|FY2028</v>
      </c>
      <c r="B34" t="str">
        <f>Scenarios!A9</f>
        <v>A1_Repurpose_Both_ops</v>
      </c>
      <c r="C34" t="s">
        <v>189</v>
      </c>
      <c r="D34">
        <f>IF(Scenarios!D9=1,0, L34)</f>
        <v>0</v>
      </c>
      <c r="E34">
        <f>IF(Scenarios!E9=1,0, M34)</f>
        <v>0</v>
      </c>
      <c r="F34">
        <f t="shared" ref="F34:F65" si="11">D34+E34</f>
        <v>0</v>
      </c>
      <c r="G34" s="2">
        <f>YearMap!B4</f>
        <v>8828.7836052497714</v>
      </c>
      <c r="H34" s="2">
        <f>YearMap!C4</f>
        <v>938384.57490393298</v>
      </c>
      <c r="I34" s="2">
        <f>YearMap!D4</f>
        <v>1080785.3469710669</v>
      </c>
      <c r="J34">
        <f>1-BaselineCalc!$B$5</f>
        <v>0.99299999999999999</v>
      </c>
      <c r="K34">
        <f>Scenarios!G9</f>
        <v>0</v>
      </c>
      <c r="L34">
        <f>IF(Scenarios!$Q9=1,BaselineCalc!$B$7*(1+Parameters_Public!$C44)^(IF($C34="FY2026",0,IF($C34="FY2027",1,IF($C34="FY2028",2,IF($C34="FY2029",3,IF($C34="FY2030",4,0))))))+ROUND(Scenarios!K9*Scenarios!$F9,0),BaselineCalc!$B$7+ROUND(Scenarios!K9*Scenarios!$F9,0))</f>
        <v>257</v>
      </c>
      <c r="M34">
        <f>IF(Scenarios!$R9=1,BaselineCalc!$B$8*(1+Parameters_Public!$C45)^(IF($C34="FY2026",0,IF($C34="FY2027",1,IF($C34="FY2028",2,IF($C34="FY2029",3,IF($C34="FY2030",4,0))))))+Scenarios!K9-ROUND(Scenarios!K9*Scenarios!$F9,0),BaselineCalc!$B$8+Scenarios!K9-ROUND(Scenarios!K9*Scenarios!$F9,0))</f>
        <v>296</v>
      </c>
      <c r="N34" s="11">
        <f t="shared" ref="N34:N65" si="12">(L34-D34) + (M34-E34)</f>
        <v>553</v>
      </c>
      <c r="O34" s="11">
        <f>(Parameters_Public!$C$23*(L34-D34)+Parameters_Public!$C$24*(M34-E34))</f>
        <v>405.79999999999995</v>
      </c>
      <c r="P34">
        <f>YearMap!E4</f>
        <v>600</v>
      </c>
      <c r="Q34">
        <f>IF(Scenarios!N9="lease", YearMap!F4, YearMap!G4)</f>
        <v>0.65</v>
      </c>
      <c r="R34" s="2">
        <f>IF(Scenarios!D9=1, Q34*H34, H34)</f>
        <v>609949.97368755646</v>
      </c>
      <c r="S34" s="2">
        <f>IF(Scenarios!E9=1, Q34*I34, I34)</f>
        <v>702510.47553119354</v>
      </c>
      <c r="T34" s="2">
        <f>IF(C34="FY2026", (Scenarios!D9+Scenarios!E9)*BaselineCalc!$B$22, 0)</f>
        <v>0</v>
      </c>
      <c r="U34" s="2">
        <f t="shared" ref="U34:U66" si="13">(R34+S34+G34*F34)*J34*(1-K34)</f>
        <v>1303273.2260742188</v>
      </c>
      <c r="V34" s="2">
        <f t="shared" ref="V34:V66" si="14">O34*(G34+P34)</f>
        <v>3826200.3870103569</v>
      </c>
      <c r="W34" s="2">
        <f>U34+V34+IF(Parameters_Public!$C$28=1, T34, 0)</f>
        <v>5129473.6130845752</v>
      </c>
      <c r="X34" s="2">
        <f t="shared" ref="X34:X65" si="15">IF(F34+O34&gt;0, W34/(F34+O34),"")</f>
        <v>12640.398257970863</v>
      </c>
      <c r="Y34" s="2">
        <f>INDEX(YearMap!$I$2:$I$6, MATCH(C34, YearMap!$A$2:$A$6, 0))</f>
        <v>5266.7831249999999</v>
      </c>
      <c r="Z34" s="2">
        <f>W34 - ((Y34 + IF(Parameters_Public!$C$20=1, Parameters_Public!$C$19, 0))*AC34)</f>
        <v>2687071.7109595756</v>
      </c>
      <c r="AA34" s="2">
        <f t="shared" ref="AA34:AA66" si="16">IF($AC34&gt;0, $Z34/$AC34, 0)</f>
        <v>6621.665132970862</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(1-Parameters_Public!$C$43)*$G34*$AB34*$J34*(1-$K34)) + AB34*INDEX(YearMap!$Q$2:$Q$6, MATCH(C34, YearMap!$A$2:$A$6, 0))</f>
        <v>5129473.6130845752</v>
      </c>
      <c r="AF34" s="2">
        <f t="shared" ref="AF34:AF65" si="18">AD34-AE34</f>
        <v>-454637.08214082569</v>
      </c>
      <c r="AG34" t="str">
        <f t="shared" ref="AG34:AG66" si="19">B34&amp;"|"&amp;C34</f>
        <v>A1_Repurpose_Both_ops|FY2028</v>
      </c>
    </row>
    <row r="35" spans="1:33" x14ac:dyDescent="0.35">
      <c r="A35" t="str">
        <f t="shared" si="10"/>
        <v>A1_Repurpose_Both_ops|FY2029</v>
      </c>
      <c r="B35" t="str">
        <f>Scenarios!A9</f>
        <v>A1_Repurpose_Both_ops</v>
      </c>
      <c r="C35" t="s">
        <v>190</v>
      </c>
      <c r="D35">
        <f>IF(Scenarios!D9=1,0, L35)</f>
        <v>0</v>
      </c>
      <c r="E35">
        <f>IF(Scenarios!E9=1,0, M35)</f>
        <v>0</v>
      </c>
      <c r="F35">
        <f t="shared" si="11"/>
        <v>0</v>
      </c>
      <c r="G35" s="2">
        <f>YearMap!B5</f>
        <v>9049.5031953810158</v>
      </c>
      <c r="H35" s="2">
        <f>YearMap!C5</f>
        <v>961844.18927653122</v>
      </c>
      <c r="I35" s="2">
        <f>YearMap!D5</f>
        <v>1107804.9806453434</v>
      </c>
      <c r="J35">
        <f>1-BaselineCalc!$B$5</f>
        <v>0.99299999999999999</v>
      </c>
      <c r="K35">
        <f>Scenarios!G9</f>
        <v>0</v>
      </c>
      <c r="L35">
        <f>IF(Scenarios!$Q9=1,BaselineCalc!$B$7*(1+Parameters_Public!$C44)^(IF($C35="FY2026",0,IF($C35="FY2027",1,IF($C35="FY2028",2,IF($C35="FY2029",3,IF($C35="FY2030",4,0))))))+ROUND(Scenarios!L9*Scenarios!$F9,0),BaselineCalc!$B$7+ROUND(Scenarios!L9*Scenarios!$F9,0))</f>
        <v>257</v>
      </c>
      <c r="M35">
        <f>IF(Scenarios!$R9=1,BaselineCalc!$B$8*(1+Parameters_Public!$C45)^(IF($C35="FY2026",0,IF($C35="FY2027",1,IF($C35="FY2028",2,IF($C35="FY2029",3,IF($C35="FY2030",4,0))))))+Scenarios!L9-ROUND(Scenarios!L9*Scenarios!$F9,0),BaselineCalc!$B$8+Scenarios!L9-ROUND(Scenarios!L9*Scenarios!$F9,0))</f>
        <v>296</v>
      </c>
      <c r="N35" s="11">
        <f t="shared" si="12"/>
        <v>553</v>
      </c>
      <c r="O35" s="11">
        <f>(Parameters_Public!$C$23*(L35-D35)+Parameters_Public!$C$24*(M35-E35))</f>
        <v>405.79999999999995</v>
      </c>
      <c r="P35">
        <f>YearMap!E5</f>
        <v>500</v>
      </c>
      <c r="Q35">
        <f>IF(Scenarios!N9="lease", YearMap!F5, YearMap!G5)</f>
        <v>0.6</v>
      </c>
      <c r="R35" s="2">
        <f>IF(Scenarios!D9=1, Q35*H35, H35)</f>
        <v>577106.51356591866</v>
      </c>
      <c r="S35" s="2">
        <f>IF(Scenarios!E9=1, Q35*I35, I35)</f>
        <v>664682.98838720599</v>
      </c>
      <c r="T35" s="2">
        <f>IF(C35="FY2026", (Scenarios!D9+Scenarios!E9)*BaselineCalc!$B$22, 0)</f>
        <v>0</v>
      </c>
      <c r="U35" s="2">
        <f t="shared" si="13"/>
        <v>1233096.9754394526</v>
      </c>
      <c r="V35" s="2">
        <f t="shared" si="14"/>
        <v>3875188.3966856156</v>
      </c>
      <c r="W35" s="2">
        <f>U35+V35+IF(Parameters_Public!$C$28=1, T35, 0)</f>
        <v>5108285.3721250687</v>
      </c>
      <c r="X35" s="2">
        <f t="shared" si="15"/>
        <v>12588.184751417124</v>
      </c>
      <c r="Y35" s="2">
        <f>INDEX(YearMap!$I$2:$I$6, MATCH(C35, YearMap!$A$2:$A$6, 0))</f>
        <v>5398.4527031249991</v>
      </c>
      <c r="Z35" s="2">
        <f>W35 - ((Y35 + IF(Parameters_Public!$C$20=1, Parameters_Public!$C$19, 0))*AC35)</f>
        <v>2612451.9551969445</v>
      </c>
      <c r="AA35" s="2">
        <f t="shared" si="16"/>
        <v>6437.7820482921261</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(1-Parameters_Public!$C$43)*$G35*$AB35*$J35*(1-$K35)) + AB35*INDEX(YearMap!$Q$2:$Q$6, MATCH(C35, YearMap!$A$2:$A$6, 0))</f>
        <v>5108285.3721250687</v>
      </c>
      <c r="AF35" s="2">
        <f t="shared" si="18"/>
        <v>-316577.9279077258</v>
      </c>
      <c r="AG35" t="str">
        <f t="shared" si="19"/>
        <v>A1_Repurpose_Both_ops|FY2029</v>
      </c>
    </row>
    <row r="36" spans="1:33" x14ac:dyDescent="0.35">
      <c r="A36" t="str">
        <f t="shared" si="10"/>
        <v>A1_Repurpose_Both_ops|FY2030</v>
      </c>
      <c r="B36" t="str">
        <f>Scenarios!A9</f>
        <v>A1_Repurpose_Both_ops</v>
      </c>
      <c r="C36" t="s">
        <v>102</v>
      </c>
      <c r="D36">
        <f>IF(Scenarios!D9=1,0, L36)</f>
        <v>0</v>
      </c>
      <c r="E36">
        <f>IF(Scenarios!E9=1,0, M36)</f>
        <v>0</v>
      </c>
      <c r="F36">
        <f t="shared" si="11"/>
        <v>0</v>
      </c>
      <c r="G36" s="2">
        <f>YearMap!B6</f>
        <v>9275.7407752655399</v>
      </c>
      <c r="H36" s="2">
        <f>YearMap!C6</f>
        <v>985890.29400844453</v>
      </c>
      <c r="I36" s="2">
        <f>YearMap!D6</f>
        <v>1135500.1051614769</v>
      </c>
      <c r="J36">
        <f>1-BaselineCalc!$B$5</f>
        <v>0.99299999999999999</v>
      </c>
      <c r="K36">
        <f>Scenarios!G9</f>
        <v>0</v>
      </c>
      <c r="L36">
        <f>IF(Scenarios!$Q9=1,BaselineCalc!$B$7*(1+Parameters_Public!$C44)^(IF($C36="FY2026",0,IF($C36="FY2027",1,IF($C36="FY2028",2,IF($C36="FY2029",3,IF($C36="FY2030",4,0))))))+ROUND(Scenarios!M9*Scenarios!$F9,0),BaselineCalc!$B$7+ROUND(Scenarios!M9*Scenarios!$F9,0))</f>
        <v>257</v>
      </c>
      <c r="M36">
        <f>IF(Scenarios!$R9=1,BaselineCalc!$B$8*(1+Parameters_Public!$C45)^(IF($C36="FY2026",0,IF($C36="FY2027",1,IF($C36="FY2028",2,IF($C36="FY2029",3,IF($C36="FY2030",4,0))))))+Scenarios!M9-ROUND(Scenarios!M9*Scenarios!$F9,0),BaselineCalc!$B$8+Scenarios!M9-ROUND(Scenarios!M9*Scenarios!$F9,0))</f>
        <v>296</v>
      </c>
      <c r="N36" s="11">
        <f t="shared" si="12"/>
        <v>553</v>
      </c>
      <c r="O36" s="11">
        <f>(Parameters_Public!$C$23*(L36-D36)+Parameters_Public!$C$24*(M36-E36))</f>
        <v>405.79999999999995</v>
      </c>
      <c r="P36">
        <f>YearMap!E6</f>
        <v>300</v>
      </c>
      <c r="Q36">
        <f>IF(Scenarios!N9="lease", YearMap!F6, YearMap!G6)</f>
        <v>0.6</v>
      </c>
      <c r="R36" s="2">
        <f>IF(Scenarios!D9=1, Q36*H36, H36)</f>
        <v>591534.17640506674</v>
      </c>
      <c r="S36" s="2">
        <f>IF(Scenarios!E9=1, Q36*I36, I36)</f>
        <v>681300.06309688615</v>
      </c>
      <c r="T36" s="2">
        <f>IF(C36="FY2026", (Scenarios!D9+Scenarios!E9)*BaselineCalc!$B$22, 0)</f>
        <v>0</v>
      </c>
      <c r="U36" s="2">
        <f t="shared" si="13"/>
        <v>1263924.3998254393</v>
      </c>
      <c r="V36" s="2">
        <f t="shared" si="14"/>
        <v>3885835.6066027558</v>
      </c>
      <c r="W36" s="2">
        <f>U36+V36+IF(Parameters_Public!$C$28=1, T36, 0)</f>
        <v>5149760.0064281952</v>
      </c>
      <c r="X36" s="2">
        <f t="shared" si="15"/>
        <v>12690.389370202553</v>
      </c>
      <c r="Y36" s="2">
        <f>INDEX(YearMap!$I$2:$I$6, MATCH(C36, YearMap!$A$2:$A$6, 0))</f>
        <v>5533.4140207031242</v>
      </c>
      <c r="Z36" s="2">
        <f>W36 - ((Y36 + IF(Parameters_Public!$C$20=1, Parameters_Public!$C$19, 0))*AC36)</f>
        <v>2599159.2868268676</v>
      </c>
      <c r="AA36" s="2">
        <f t="shared" si="16"/>
        <v>6405.0253494994276</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(1-Parameters_Public!$C$43)*$G36*$AB36*$J36*(1-$K36)) + AB36*INDEX(YearMap!$Q$2:$Q$6, MATCH(C36, YearMap!$A$2:$A$6, 0))</f>
        <v>5149760.0064281952</v>
      </c>
      <c r="AF36" s="2">
        <f t="shared" si="18"/>
        <v>-238259.87610541843</v>
      </c>
      <c r="AG36" t="str">
        <f t="shared" si="19"/>
        <v>A1_Repurpose_Both_ops|FY2030</v>
      </c>
    </row>
    <row r="37" spans="1:33" x14ac:dyDescent="0.35">
      <c r="A37" t="str">
        <f t="shared" si="10"/>
        <v>A2_Repurpose_Both_lease|FY2026</v>
      </c>
      <c r="B37" t="str">
        <f>Scenarios!A10</f>
        <v>A2_Repurpose_Both_lease</v>
      </c>
      <c r="C37" t="s">
        <v>187</v>
      </c>
      <c r="D37">
        <f>IF(Scenarios!D10=1,0, L37)</f>
        <v>0</v>
      </c>
      <c r="E37">
        <f>IF(Scenarios!E10=1,0, M37)</f>
        <v>0</v>
      </c>
      <c r="F37">
        <f t="shared" si="11"/>
        <v>0</v>
      </c>
      <c r="G37" s="2">
        <f>YearMap!B2</f>
        <v>8403.3633363471963</v>
      </c>
      <c r="H37" s="2">
        <f>YearMap!C2</f>
        <v>922499.99999999988</v>
      </c>
      <c r="I37" s="2">
        <f>YearMap!D2</f>
        <v>999374.99999999988</v>
      </c>
      <c r="J37">
        <f>1-BaselineCalc!$B$5</f>
        <v>0.99299999999999999</v>
      </c>
      <c r="K37">
        <f>Scenarios!G10</f>
        <v>0</v>
      </c>
      <c r="L37">
        <f>IF(Scenarios!$Q10=1,BaselineCalc!$B$7*(1+Parameters_Public!$C44)^(IF($C37="FY2026",0,IF($C37="FY2027",1,IF($C37="FY2028",2,IF($C37="FY2029",3,IF($C37="FY2030",4,0))))))+ROUND(Scenarios!I10*Scenarios!$F10,0),BaselineCalc!$B$7+ROUND(Scenarios!I10*Scenarios!$F10,0))</f>
        <v>257</v>
      </c>
      <c r="M37">
        <f>IF(Scenarios!$R10=1,BaselineCalc!$B$8*(1+Parameters_Public!$C45)^(IF($C37="FY2026",0,IF($C37="FY2027",1,IF($C37="FY2028",2,IF($C37="FY2029",3,IF($C37="FY2030",4,0))))))+Scenarios!I10-ROUND(Scenarios!I10*Scenarios!$F10,0),BaselineCalc!$B$8+Scenarios!I10-ROUND(Scenarios!I10*Scenarios!$F10,0))</f>
        <v>296</v>
      </c>
      <c r="N37" s="11">
        <f t="shared" si="12"/>
        <v>553</v>
      </c>
      <c r="O37" s="11">
        <f>(Parameters_Public!$C$23*(L37-D37)+Parameters_Public!$C$24*(M37-E37))</f>
        <v>405.79999999999995</v>
      </c>
      <c r="P37">
        <f>YearMap!E2</f>
        <v>1000</v>
      </c>
      <c r="Q37">
        <f>IF(Scenarios!N10="lease", YearMap!F2, YearMap!G2)</f>
        <v>0.2</v>
      </c>
      <c r="R37" s="2">
        <f>IF(Scenarios!D10=1, Q37*H37, H37)</f>
        <v>184500</v>
      </c>
      <c r="S37" s="2">
        <f>IF(Scenarios!E10=1, Q37*I37, I37)</f>
        <v>199875</v>
      </c>
      <c r="T37" s="2">
        <f>IF(C37="FY2026", (Scenarios!D10+Scenarios!E10)*BaselineCalc!$B$22, 0)</f>
        <v>2000000</v>
      </c>
      <c r="U37" s="2">
        <f t="shared" si="13"/>
        <v>381684.375</v>
      </c>
      <c r="V37" s="2">
        <f t="shared" si="14"/>
        <v>3815884.841889692</v>
      </c>
      <c r="W37" s="2">
        <f>U37+V37+IF(Parameters_Public!$C$28=1, T37, 0)</f>
        <v>4197569.2168896925</v>
      </c>
      <c r="X37" s="2">
        <f t="shared" si="15"/>
        <v>10343.935970649811</v>
      </c>
      <c r="Y37" s="2">
        <f>INDEX(YearMap!$I$2:$I$6, MATCH(C37, YearMap!$A$2:$A$6, 0))</f>
        <v>5013</v>
      </c>
      <c r="Z37" s="2">
        <f>W37 - ((Y37 + IF(Parameters_Public!$C$20=1, Parameters_Public!$C$19, 0))*AC37)</f>
        <v>1858152.506889693</v>
      </c>
      <c r="AA37" s="2">
        <f t="shared" si="16"/>
        <v>4578.985970649811</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(1-Parameters_Public!$C$43)*$G37*$AB37*$J37*(1-$K37)) + AB37*INDEX(YearMap!$Q$2:$Q$6, MATCH(C37, YearMap!$A$2:$A$6, 0))</f>
        <v>4197569.2168896925</v>
      </c>
      <c r="AF37" s="2">
        <f t="shared" si="18"/>
        <v>252007.49311030656</v>
      </c>
      <c r="AG37" t="str">
        <f t="shared" si="19"/>
        <v>A2_Repurpose_Both_lease|FY2026</v>
      </c>
    </row>
    <row r="38" spans="1:33" x14ac:dyDescent="0.35">
      <c r="A38" t="str">
        <f t="shared" si="10"/>
        <v>A2_Repurpose_Both_lease|FY2027</v>
      </c>
      <c r="B38" t="str">
        <f>Scenarios!A10</f>
        <v>A2_Repurpose_Both_lease</v>
      </c>
      <c r="C38" t="s">
        <v>188</v>
      </c>
      <c r="D38">
        <f>IF(Scenarios!D10=1,0, L38)</f>
        <v>0</v>
      </c>
      <c r="E38">
        <f>IF(Scenarios!E10=1,0, M38)</f>
        <v>0</v>
      </c>
      <c r="F38">
        <f t="shared" si="11"/>
        <v>0</v>
      </c>
      <c r="G38" s="2">
        <f>YearMap!B3</f>
        <v>8613.4474197558757</v>
      </c>
      <c r="H38" s="2">
        <f>YearMap!C3</f>
        <v>915497.14624773955</v>
      </c>
      <c r="I38" s="2">
        <f>YearMap!D3</f>
        <v>1054424.7287522603</v>
      </c>
      <c r="J38">
        <f>1-BaselineCalc!$B$5</f>
        <v>0.99299999999999999</v>
      </c>
      <c r="K38">
        <f>Scenarios!G10</f>
        <v>0</v>
      </c>
      <c r="L38">
        <f>IF(Scenarios!$Q10=1,BaselineCalc!$B$7*(1+Parameters_Public!$C44)^(IF($C38="FY2026",0,IF($C38="FY2027",1,IF($C38="FY2028",2,IF($C38="FY2029",3,IF($C38="FY2030",4,0))))))+ROUND(Scenarios!J10*Scenarios!$F10,0),BaselineCalc!$B$7+ROUND(Scenarios!J10*Scenarios!$F10,0))</f>
        <v>257</v>
      </c>
      <c r="M38">
        <f>IF(Scenarios!$R10=1,BaselineCalc!$B$8*(1+Parameters_Public!$C45)^(IF($C38="FY2026",0,IF($C38="FY2027",1,IF($C38="FY2028",2,IF($C38="FY2029",3,IF($C38="FY2030",4,0))))))+Scenarios!J10-ROUND(Scenarios!J10*Scenarios!$F10,0),BaselineCalc!$B$8+Scenarios!J10-ROUND(Scenarios!J10*Scenarios!$F10,0))</f>
        <v>296</v>
      </c>
      <c r="N38" s="11">
        <f t="shared" si="12"/>
        <v>553</v>
      </c>
      <c r="O38" s="11">
        <f>(Parameters_Public!$C$23*(L38-D38)+Parameters_Public!$C$24*(M38-E38))</f>
        <v>405.79999999999995</v>
      </c>
      <c r="P38">
        <f>YearMap!E3</f>
        <v>800</v>
      </c>
      <c r="Q38">
        <f>IF(Scenarios!N10="lease", YearMap!F3, YearMap!G3)</f>
        <v>0.2</v>
      </c>
      <c r="R38" s="2">
        <f>IF(Scenarios!D10=1, Q38*H38, H38)</f>
        <v>183099.42924954792</v>
      </c>
      <c r="S38" s="2">
        <f>IF(Scenarios!E10=1, Q38*I38, I38)</f>
        <v>210884.94575045208</v>
      </c>
      <c r="T38" s="2">
        <f>IF(C38="FY2026", (Scenarios!D10+Scenarios!E10)*BaselineCalc!$B$22, 0)</f>
        <v>0</v>
      </c>
      <c r="U38" s="2">
        <f t="shared" si="13"/>
        <v>391226.484375</v>
      </c>
      <c r="V38" s="2">
        <f t="shared" si="14"/>
        <v>3819976.9629369341</v>
      </c>
      <c r="W38" s="2">
        <f>U38+V38+IF(Parameters_Public!$C$28=1, T38, 0)</f>
        <v>4211203.4473119341</v>
      </c>
      <c r="X38" s="2">
        <f t="shared" si="15"/>
        <v>10377.534369916053</v>
      </c>
      <c r="Y38" s="2">
        <f>INDEX(YearMap!$I$2:$I$6, MATCH(C38, YearMap!$A$2:$A$6, 0))</f>
        <v>5138.3249999999998</v>
      </c>
      <c r="Z38" s="2">
        <f>W38 - ((Y38 + IF(Parameters_Public!$C$20=1, Parameters_Public!$C$19, 0))*AC38)</f>
        <v>1820929.8523119343</v>
      </c>
      <c r="AA38" s="2">
        <f t="shared" si="16"/>
        <v>4487.2593699160534</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(1-Parameters_Public!$C$43)*$G38*$AB38*$J38*(1-$K38)) + AB38*INDEX(YearMap!$Q$2:$Q$6, MATCH(C38, YearMap!$A$2:$A$6, 0))</f>
        <v>4211203.4473119341</v>
      </c>
      <c r="AF38" s="2">
        <f t="shared" si="18"/>
        <v>349612.68043806497</v>
      </c>
      <c r="AG38" t="str">
        <f t="shared" si="19"/>
        <v>A2_Repurpose_Both_lease|FY2027</v>
      </c>
    </row>
    <row r="39" spans="1:33" x14ac:dyDescent="0.35">
      <c r="A39" t="str">
        <f t="shared" si="10"/>
        <v>A2_Repurpose_Both_lease|FY2028</v>
      </c>
      <c r="B39" t="str">
        <f>Scenarios!A10</f>
        <v>A2_Repurpose_Both_lease</v>
      </c>
      <c r="C39" t="s">
        <v>189</v>
      </c>
      <c r="D39">
        <f>IF(Scenarios!D10=1,0, L39)</f>
        <v>0</v>
      </c>
      <c r="E39">
        <f>IF(Scenarios!E10=1,0, M39)</f>
        <v>0</v>
      </c>
      <c r="F39">
        <f t="shared" si="11"/>
        <v>0</v>
      </c>
      <c r="G39" s="2">
        <f>YearMap!B4</f>
        <v>8828.7836052497714</v>
      </c>
      <c r="H39" s="2">
        <f>YearMap!C4</f>
        <v>938384.57490393298</v>
      </c>
      <c r="I39" s="2">
        <f>YearMap!D4</f>
        <v>1080785.3469710669</v>
      </c>
      <c r="J39">
        <f>1-BaselineCalc!$B$5</f>
        <v>0.99299999999999999</v>
      </c>
      <c r="K39">
        <f>Scenarios!G10</f>
        <v>0</v>
      </c>
      <c r="L39">
        <f>IF(Scenarios!$Q10=1,BaselineCalc!$B$7*(1+Parameters_Public!$C44)^(IF($C39="FY2026",0,IF($C39="FY2027",1,IF($C39="FY2028",2,IF($C39="FY2029",3,IF($C39="FY2030",4,0))))))+ROUND(Scenarios!K10*Scenarios!$F10,0),BaselineCalc!$B$7+ROUND(Scenarios!K10*Scenarios!$F10,0))</f>
        <v>257</v>
      </c>
      <c r="M39">
        <f>IF(Scenarios!$R10=1,BaselineCalc!$B$8*(1+Parameters_Public!$C45)^(IF($C39="FY2026",0,IF($C39="FY2027",1,IF($C39="FY2028",2,IF($C39="FY2029",3,IF($C39="FY2030",4,0))))))+Scenarios!K10-ROUND(Scenarios!K10*Scenarios!$F10,0),BaselineCalc!$B$8+Scenarios!K10-ROUND(Scenarios!K10*Scenarios!$F10,0))</f>
        <v>296</v>
      </c>
      <c r="N39" s="11">
        <f t="shared" si="12"/>
        <v>553</v>
      </c>
      <c r="O39" s="11">
        <f>(Parameters_Public!$C$23*(L39-D39)+Parameters_Public!$C$24*(M39-E39))</f>
        <v>405.79999999999995</v>
      </c>
      <c r="P39">
        <f>YearMap!E4</f>
        <v>600</v>
      </c>
      <c r="Q39">
        <f>IF(Scenarios!N10="lease", YearMap!F4, YearMap!G4)</f>
        <v>0.15</v>
      </c>
      <c r="R39" s="2">
        <f>IF(Scenarios!D10=1, Q39*H39, H39)</f>
        <v>140757.68623558994</v>
      </c>
      <c r="S39" s="2">
        <f>IF(Scenarios!E10=1, Q39*I39, I39)</f>
        <v>162117.80204566004</v>
      </c>
      <c r="T39" s="2">
        <f>IF(C39="FY2026", (Scenarios!D10+Scenarios!E10)*BaselineCalc!$B$22, 0)</f>
        <v>0</v>
      </c>
      <c r="U39" s="2">
        <f t="shared" si="13"/>
        <v>300755.35986328125</v>
      </c>
      <c r="V39" s="2">
        <f t="shared" si="14"/>
        <v>3826200.3870103569</v>
      </c>
      <c r="W39" s="2">
        <f>U39+V39+IF(Parameters_Public!$C$28=1, T39, 0)</f>
        <v>4126955.7468736381</v>
      </c>
      <c r="X39" s="2">
        <f t="shared" si="15"/>
        <v>10169.925448185408</v>
      </c>
      <c r="Y39" s="2">
        <f>INDEX(YearMap!$I$2:$I$6, MATCH(C39, YearMap!$A$2:$A$6, 0))</f>
        <v>5266.7831249999999</v>
      </c>
      <c r="Z39" s="2">
        <f>W39 - ((Y39 + IF(Parameters_Public!$C$20=1, Parameters_Public!$C$19, 0))*AC39)</f>
        <v>1684553.8447486386</v>
      </c>
      <c r="AA39" s="2">
        <f t="shared" si="16"/>
        <v>4151.1923231854089</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(1-Parameters_Public!$C$43)*$G39*$AB39*$J39*(1-$K39)) + AB39*INDEX(YearMap!$Q$2:$Q$6, MATCH(C39, YearMap!$A$2:$A$6, 0))</f>
        <v>4126955.7468736381</v>
      </c>
      <c r="AF39" s="2">
        <f t="shared" si="18"/>
        <v>547880.78407011135</v>
      </c>
      <c r="AG39" t="str">
        <f t="shared" si="19"/>
        <v>A2_Repurpose_Both_lease|FY2028</v>
      </c>
    </row>
    <row r="40" spans="1:33" x14ac:dyDescent="0.35">
      <c r="A40" t="str">
        <f t="shared" si="10"/>
        <v>A2_Repurpose_Both_lease|FY2029</v>
      </c>
      <c r="B40" t="str">
        <f>Scenarios!A10</f>
        <v>A2_Repurpose_Both_lease</v>
      </c>
      <c r="C40" t="s">
        <v>190</v>
      </c>
      <c r="D40">
        <f>IF(Scenarios!D10=1,0, L40)</f>
        <v>0</v>
      </c>
      <c r="E40">
        <f>IF(Scenarios!E10=1,0, M40)</f>
        <v>0</v>
      </c>
      <c r="F40">
        <f t="shared" si="11"/>
        <v>0</v>
      </c>
      <c r="G40" s="2">
        <f>YearMap!B5</f>
        <v>9049.5031953810158</v>
      </c>
      <c r="H40" s="2">
        <f>YearMap!C5</f>
        <v>961844.18927653122</v>
      </c>
      <c r="I40" s="2">
        <f>YearMap!D5</f>
        <v>1107804.9806453434</v>
      </c>
      <c r="J40">
        <f>1-BaselineCalc!$B$5</f>
        <v>0.99299999999999999</v>
      </c>
      <c r="K40">
        <f>Scenarios!G10</f>
        <v>0</v>
      </c>
      <c r="L40">
        <f>IF(Scenarios!$Q10=1,BaselineCalc!$B$7*(1+Parameters_Public!$C44)^(IF($C40="FY2026",0,IF($C40="FY2027",1,IF($C40="FY2028",2,IF($C40="FY2029",3,IF($C40="FY2030",4,0))))))+ROUND(Scenarios!L10*Scenarios!$F10,0),BaselineCalc!$B$7+ROUND(Scenarios!L10*Scenarios!$F10,0))</f>
        <v>257</v>
      </c>
      <c r="M40">
        <f>IF(Scenarios!$R10=1,BaselineCalc!$B$8*(1+Parameters_Public!$C45)^(IF($C40="FY2026",0,IF($C40="FY2027",1,IF($C40="FY2028",2,IF($C40="FY2029",3,IF($C40="FY2030",4,0))))))+Scenarios!L10-ROUND(Scenarios!L10*Scenarios!$F10,0),BaselineCalc!$B$8+Scenarios!L10-ROUND(Scenarios!L10*Scenarios!$F10,0))</f>
        <v>296</v>
      </c>
      <c r="N40" s="11">
        <f t="shared" si="12"/>
        <v>553</v>
      </c>
      <c r="O40" s="11">
        <f>(Parameters_Public!$C$23*(L40-D40)+Parameters_Public!$C$24*(M40-E40))</f>
        <v>405.79999999999995</v>
      </c>
      <c r="P40">
        <f>YearMap!E5</f>
        <v>500</v>
      </c>
      <c r="Q40">
        <f>IF(Scenarios!N10="lease", YearMap!F5, YearMap!G5)</f>
        <v>0.1</v>
      </c>
      <c r="R40" s="2">
        <f>IF(Scenarios!D10=1, Q40*H40, H40)</f>
        <v>96184.418927653125</v>
      </c>
      <c r="S40" s="2">
        <f>IF(Scenarios!E10=1, Q40*I40, I40)</f>
        <v>110780.49806453435</v>
      </c>
      <c r="T40" s="2">
        <f>IF(C40="FY2026", (Scenarios!D10+Scenarios!E10)*BaselineCalc!$B$22, 0)</f>
        <v>0</v>
      </c>
      <c r="U40" s="2">
        <f t="shared" si="13"/>
        <v>205516.16257324215</v>
      </c>
      <c r="V40" s="2">
        <f t="shared" si="14"/>
        <v>3875188.3966856156</v>
      </c>
      <c r="W40" s="2">
        <f>U40+V40+IF(Parameters_Public!$C$28=1, T40, 0)</f>
        <v>4080704.5592588577</v>
      </c>
      <c r="X40" s="2">
        <f t="shared" si="15"/>
        <v>10055.950121387034</v>
      </c>
      <c r="Y40" s="2">
        <f>INDEX(YearMap!$I$2:$I$6, MATCH(C40, YearMap!$A$2:$A$6, 0))</f>
        <v>5398.4527031249991</v>
      </c>
      <c r="Z40" s="2">
        <f>W40 - ((Y40 + IF(Parameters_Public!$C$20=1, Parameters_Public!$C$19, 0))*AC40)</f>
        <v>1584871.1423307336</v>
      </c>
      <c r="AA40" s="2">
        <f t="shared" si="16"/>
        <v>3905.5474182620351</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(1-Parameters_Public!$C$43)*$G40*$AB40*$J40*(1-$K40)) + AB40*INDEX(YearMap!$Q$2:$Q$6, MATCH(C40, YearMap!$A$2:$A$6, 0))</f>
        <v>4080704.5592588577</v>
      </c>
      <c r="AF40" s="2">
        <f t="shared" si="18"/>
        <v>711002.88495848514</v>
      </c>
      <c r="AG40" t="str">
        <f t="shared" si="19"/>
        <v>A2_Repurpose_Both_lease|FY2029</v>
      </c>
    </row>
    <row r="41" spans="1:33" x14ac:dyDescent="0.35">
      <c r="A41" t="str">
        <f t="shared" si="10"/>
        <v>A2_Repurpose_Both_lease|FY2030</v>
      </c>
      <c r="B41" t="str">
        <f>Scenarios!A10</f>
        <v>A2_Repurpose_Both_lease</v>
      </c>
      <c r="C41" t="s">
        <v>102</v>
      </c>
      <c r="D41">
        <f>IF(Scenarios!D10=1,0, L41)</f>
        <v>0</v>
      </c>
      <c r="E41">
        <f>IF(Scenarios!E10=1,0, M41)</f>
        <v>0</v>
      </c>
      <c r="F41">
        <f t="shared" si="11"/>
        <v>0</v>
      </c>
      <c r="G41" s="2">
        <f>YearMap!B6</f>
        <v>9275.7407752655399</v>
      </c>
      <c r="H41" s="2">
        <f>YearMap!C6</f>
        <v>985890.29400844453</v>
      </c>
      <c r="I41" s="2">
        <f>YearMap!D6</f>
        <v>1135500.1051614769</v>
      </c>
      <c r="J41">
        <f>1-BaselineCalc!$B$5</f>
        <v>0.99299999999999999</v>
      </c>
      <c r="K41">
        <f>Scenarios!G10</f>
        <v>0</v>
      </c>
      <c r="L41">
        <f>IF(Scenarios!$Q10=1,BaselineCalc!$B$7*(1+Parameters_Public!$C44)^(IF($C41="FY2026",0,IF($C41="FY2027",1,IF($C41="FY2028",2,IF($C41="FY2029",3,IF($C41="FY2030",4,0))))))+ROUND(Scenarios!M10*Scenarios!$F10,0),BaselineCalc!$B$7+ROUND(Scenarios!M10*Scenarios!$F10,0))</f>
        <v>257</v>
      </c>
      <c r="M41">
        <f>IF(Scenarios!$R10=1,BaselineCalc!$B$8*(1+Parameters_Public!$C45)^(IF($C41="FY2026",0,IF($C41="FY2027",1,IF($C41="FY2028",2,IF($C41="FY2029",3,IF($C41="FY2030",4,0))))))+Scenarios!M10-ROUND(Scenarios!M10*Scenarios!$F10,0),BaselineCalc!$B$8+Scenarios!M10-ROUND(Scenarios!M10*Scenarios!$F10,0))</f>
        <v>296</v>
      </c>
      <c r="N41" s="11">
        <f t="shared" si="12"/>
        <v>553</v>
      </c>
      <c r="O41" s="11">
        <f>(Parameters_Public!$C$23*(L41-D41)+Parameters_Public!$C$24*(M41-E41))</f>
        <v>405.79999999999995</v>
      </c>
      <c r="P41">
        <f>YearMap!E6</f>
        <v>300</v>
      </c>
      <c r="Q41">
        <f>IF(Scenarios!N10="lease", YearMap!F6, YearMap!G6)</f>
        <v>0.1</v>
      </c>
      <c r="R41" s="2">
        <f>IF(Scenarios!D10=1, Q41*H41, H41)</f>
        <v>98589.029400844462</v>
      </c>
      <c r="S41" s="2">
        <f>IF(Scenarios!E10=1, Q41*I41, I41)</f>
        <v>113550.0105161477</v>
      </c>
      <c r="T41" s="2">
        <f>IF(C41="FY2026", (Scenarios!D10+Scenarios!E10)*BaselineCalc!$B$22, 0)</f>
        <v>0</v>
      </c>
      <c r="U41" s="2">
        <f t="shared" si="13"/>
        <v>210654.06663757321</v>
      </c>
      <c r="V41" s="2">
        <f t="shared" si="14"/>
        <v>3885835.6066027558</v>
      </c>
      <c r="W41" s="2">
        <f>U41+V41+IF(Parameters_Public!$C$28=1, T41, 0)</f>
        <v>4096489.6732403291</v>
      </c>
      <c r="X41" s="2">
        <f t="shared" si="15"/>
        <v>10094.848874421708</v>
      </c>
      <c r="Y41" s="2">
        <f>INDEX(YearMap!$I$2:$I$6, MATCH(C41, YearMap!$A$2:$A$6, 0))</f>
        <v>5533.4140207031242</v>
      </c>
      <c r="Z41" s="2">
        <f>W41 - ((Y41 + IF(Parameters_Public!$C$20=1, Parameters_Public!$C$19, 0))*AC41)</f>
        <v>1545888.9536390016</v>
      </c>
      <c r="AA41" s="2">
        <f t="shared" si="16"/>
        <v>3809.4848537185849</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(1-Parameters_Public!$C$43)*$G41*$AB41*$J41*(1-$K41)) + AB41*INDEX(YearMap!$Q$2:$Q$6, MATCH(C41, YearMap!$A$2:$A$6, 0))</f>
        <v>4096489.6732403291</v>
      </c>
      <c r="AF41" s="2">
        <f t="shared" si="18"/>
        <v>815010.4570824476</v>
      </c>
      <c r="AG41" t="str">
        <f t="shared" si="19"/>
        <v>A2_Repurpose_Both_lease|FY2030</v>
      </c>
    </row>
    <row r="42" spans="1:33" x14ac:dyDescent="0.35">
      <c r="A42" t="str">
        <f t="shared" si="10"/>
        <v>D2_Repurpose_Echo_lease_PimaTargets|FY2026</v>
      </c>
      <c r="B42" t="str">
        <f>Scenarios!A11</f>
        <v>D2_Repurpose_Echo_lease_PimaTargets</v>
      </c>
      <c r="C42" t="s">
        <v>187</v>
      </c>
      <c r="D42">
        <f>IF(Scenarios!D11=1,0, L42)</f>
        <v>0</v>
      </c>
      <c r="E42">
        <f>IF(Scenarios!E11=1,0, M42)</f>
        <v>312.66666666666669</v>
      </c>
      <c r="F42">
        <f t="shared" si="11"/>
        <v>312.66666666666669</v>
      </c>
      <c r="G42" s="2">
        <f>YearMap!B2</f>
        <v>8403.3633363471963</v>
      </c>
      <c r="H42" s="2">
        <f>YearMap!C2</f>
        <v>922499.99999999988</v>
      </c>
      <c r="I42" s="2">
        <f>YearMap!D2</f>
        <v>999374.99999999988</v>
      </c>
      <c r="J42">
        <f>1-BaselineCalc!$B$5</f>
        <v>0.99299999999999999</v>
      </c>
      <c r="K42">
        <f>Scenarios!G11</f>
        <v>0</v>
      </c>
      <c r="L42">
        <f>IF(Scenarios!$Q11=1,BaselineCalc!$B$7*(1+Parameters_Public!$C44)^(IF($C42="FY2026",0,IF($C42="FY2027",1,IF($C42="FY2028",2,IF($C42="FY2029",3,IF($C42="FY2030",4,0))))))+ROUND(Scenarios!I11*Scenarios!$F11,0),BaselineCalc!$B$7+ROUND(Scenarios!I11*Scenarios!$F11,0))</f>
        <v>257</v>
      </c>
      <c r="M42">
        <f>IF(Scenarios!$R11=1,BaselineCalc!$B$8*(1+Parameters_Public!$C45)^(IF($C42="FY2026",0,IF($C42="FY2027",1,IF($C42="FY2028",2,IF($C42="FY2029",3,IF($C42="FY2030",4,0))))))+Scenarios!I11-ROUND(Scenarios!I11*Scenarios!$F11,0),BaselineCalc!$B$8+Scenarios!I11-ROUND(Scenarios!I11*Scenarios!$F11,0))</f>
        <v>312.66666666666669</v>
      </c>
      <c r="N42" s="11">
        <f t="shared" si="12"/>
        <v>257</v>
      </c>
      <c r="O42" s="11">
        <f>(Parameters_Public!$C$23*(L42-D42)+Parameters_Public!$C$24*(M42-E42))</f>
        <v>154.19999999999999</v>
      </c>
      <c r="P42">
        <f>YearMap!E2</f>
        <v>1000</v>
      </c>
      <c r="Q42">
        <f>IF(Scenarios!N11="lease", YearMap!F2, YearMap!G2)</f>
        <v>0.2</v>
      </c>
      <c r="R42" s="2">
        <f>IF(Scenarios!D11=1, Q42*H42, H42)</f>
        <v>184500</v>
      </c>
      <c r="S42" s="2">
        <f>IF(Scenarios!E11=1, Q42*I42, I42)</f>
        <v>999374.99999999988</v>
      </c>
      <c r="T42" s="2">
        <f>IF(C42="FY2026", (Scenarios!D11+Scenarios!E11)*BaselineCalc!$B$22, 0)</f>
        <v>1000000</v>
      </c>
      <c r="U42" s="2">
        <f t="shared" si="13"/>
        <v>3784647.316942405</v>
      </c>
      <c r="V42" s="2">
        <f t="shared" si="14"/>
        <v>1449998.6264647376</v>
      </c>
      <c r="W42" s="2">
        <f>U42+V42+IF(Parameters_Public!$C$28=1, T42, 0)</f>
        <v>5234645.9434071425</v>
      </c>
      <c r="X42" s="2">
        <f t="shared" si="15"/>
        <v>11212.293181651739</v>
      </c>
      <c r="Y42" s="2">
        <f>INDEX(YearMap!$I$2:$I$6, MATCH(C42, YearMap!$A$2:$A$6, 0))</f>
        <v>5013</v>
      </c>
      <c r="Z42" s="2">
        <f>W42 - ((Y42 + IF(Parameters_Public!$C$20=1, Parameters_Public!$C$19, 0))*AC42)</f>
        <v>2543182.9534071423</v>
      </c>
      <c r="AA42" s="2">
        <f t="shared" si="16"/>
        <v>5447.3431816517395</v>
      </c>
      <c r="AB42">
        <f>MAX(0, (MAX(0, $D42-BaselineCalc!$B$7) + MAX(0, $E42-BaselineCalc!$B$8)))</f>
        <v>16.666666666666686</v>
      </c>
      <c r="AC42" s="11">
        <f t="shared" si="17"/>
        <v>466.86666666666673</v>
      </c>
      <c r="AD42" s="2">
        <f>( (Y42 + IF(Parameters_Public!$C20=1, INDEX(YearMap!$O$2:$O$6, MATCH(C42, YearMap!$A$2:$A$6, 0)), 0)) * AC42 ) + AC42*INDEX(YearMap!$P$2:$P$6, MATCH(C42, YearMap!$A$2:$A$6, 0)) + AB42*( INDEX(YearMap!$R$2:$R$6, MATCH(C42, YearMap!$A$2:$A$6, 0)) - INDEX(YearMap!$P$2:$P$6, MATCH(C42, YearMap!$A$2:$A$6, 0)) )</f>
        <v>5106169.6566666672</v>
      </c>
      <c r="AE42" s="2">
        <f>(W42 - (1-Parameters_Public!$C$43)*$G42*$AB42*$J42*(1-$K42)) + AB42*INDEX(YearMap!$Q$2:$Q$6, MATCH(C42, YearMap!$A$2:$A$6, 0))</f>
        <v>5182349.0114538567</v>
      </c>
      <c r="AF42" s="2">
        <f t="shared" si="18"/>
        <v>-76179.354787189513</v>
      </c>
      <c r="AG42" t="str">
        <f t="shared" si="19"/>
        <v>D2_Repurpose_Echo_lease_PimaTargets|FY2026</v>
      </c>
    </row>
    <row r="43" spans="1:33" x14ac:dyDescent="0.35">
      <c r="A43" t="str">
        <f t="shared" si="10"/>
        <v>D2_Repurpose_Echo_lease_PimaTargets|FY2027</v>
      </c>
      <c r="B43" t="str">
        <f>Scenarios!A11</f>
        <v>D2_Repurpose_Echo_lease_PimaTargets</v>
      </c>
      <c r="C43" t="s">
        <v>188</v>
      </c>
      <c r="D43">
        <f>IF(Scenarios!D11=1,0, L43)</f>
        <v>0</v>
      </c>
      <c r="E43">
        <f>IF(Scenarios!E11=1,0, M43)</f>
        <v>329.33333333333331</v>
      </c>
      <c r="F43">
        <f t="shared" si="11"/>
        <v>329.33333333333331</v>
      </c>
      <c r="G43" s="2">
        <f>YearMap!B3</f>
        <v>8613.4474197558757</v>
      </c>
      <c r="H43" s="2">
        <f>YearMap!C3</f>
        <v>915497.14624773955</v>
      </c>
      <c r="I43" s="2">
        <f>YearMap!D3</f>
        <v>1054424.7287522603</v>
      </c>
      <c r="J43">
        <f>1-BaselineCalc!$B$5</f>
        <v>0.99299999999999999</v>
      </c>
      <c r="K43">
        <f>Scenarios!G11</f>
        <v>0</v>
      </c>
      <c r="L43">
        <f>IF(Scenarios!$Q11=1,BaselineCalc!$B$7*(1+Parameters_Public!$C44)^(IF($C43="FY2026",0,IF($C43="FY2027",1,IF($C43="FY2028",2,IF($C43="FY2029",3,IF($C43="FY2030",4,0))))))+ROUND(Scenarios!J11*Scenarios!$F11,0),BaselineCalc!$B$7+ROUND(Scenarios!J11*Scenarios!$F11,0))</f>
        <v>257</v>
      </c>
      <c r="M43">
        <f>IF(Scenarios!$R11=1,BaselineCalc!$B$8*(1+Parameters_Public!$C45)^(IF($C43="FY2026",0,IF($C43="FY2027",1,IF($C43="FY2028",2,IF($C43="FY2029",3,IF($C43="FY2030",4,0))))))+Scenarios!J11-ROUND(Scenarios!J11*Scenarios!$F11,0),BaselineCalc!$B$8+Scenarios!J11-ROUND(Scenarios!J11*Scenarios!$F11,0))</f>
        <v>329.33333333333331</v>
      </c>
      <c r="N43" s="11">
        <f t="shared" si="12"/>
        <v>257</v>
      </c>
      <c r="O43" s="11">
        <f>(Parameters_Public!$C$23*(L43-D43)+Parameters_Public!$C$24*(M43-E43))</f>
        <v>154.19999999999999</v>
      </c>
      <c r="P43">
        <f>YearMap!E3</f>
        <v>800</v>
      </c>
      <c r="Q43">
        <f>IF(Scenarios!N11="lease", YearMap!F3, YearMap!G3)</f>
        <v>0.2</v>
      </c>
      <c r="R43" s="2">
        <f>IF(Scenarios!D11=1, Q43*H43, H43)</f>
        <v>183099.42924954792</v>
      </c>
      <c r="S43" s="2">
        <f>IF(Scenarios!E11=1, Q43*I43, I43)</f>
        <v>1054424.7287522603</v>
      </c>
      <c r="T43" s="2">
        <f>IF(C43="FY2026", (Scenarios!D11+Scenarios!E11)*BaselineCalc!$B$22, 0)</f>
        <v>0</v>
      </c>
      <c r="U43" s="2">
        <f t="shared" si="13"/>
        <v>4045699.9716837197</v>
      </c>
      <c r="V43" s="2">
        <f t="shared" si="14"/>
        <v>1451553.592126356</v>
      </c>
      <c r="W43" s="2">
        <f>U43+V43+IF(Parameters_Public!$C$28=1, T43, 0)</f>
        <v>5497253.5638100756</v>
      </c>
      <c r="X43" s="2">
        <f t="shared" si="15"/>
        <v>11368.923680842567</v>
      </c>
      <c r="Y43" s="2">
        <f>INDEX(YearMap!$I$2:$I$6, MATCH(C43, YearMap!$A$2:$A$6, 0))</f>
        <v>5138.3249999999998</v>
      </c>
      <c r="Z43" s="2">
        <f>W43 - ((Y43 + IF(Parameters_Public!$C$20=1, Parameters_Public!$C$19, 0))*AC43)</f>
        <v>2649109.2588100764</v>
      </c>
      <c r="AA43" s="2">
        <f t="shared" si="16"/>
        <v>5478.6486808425689</v>
      </c>
      <c r="AB43">
        <f>MAX(0, (MAX(0, $D43-BaselineCalc!$B$7) + MAX(0, $E43-BaselineCalc!$B$8)))</f>
        <v>33.333333333333314</v>
      </c>
      <c r="AC43" s="11">
        <f t="shared" si="17"/>
        <v>483.53333333333325</v>
      </c>
      <c r="AD43" s="2">
        <f>( (Y43 + IF(Parameters_Public!$C20=1, INDEX(YearMap!$O$2:$O$6, MATCH(C43, YearMap!$A$2:$A$6, 0)), 0)) * AC43 ) + AC43*INDEX(YearMap!$P$2:$P$6, MATCH(C43, YearMap!$A$2:$A$6, 0)) + AB43*( INDEX(YearMap!$R$2:$R$6, MATCH(C43, YearMap!$A$2:$A$6, 0)) - INDEX(YearMap!$P$2:$P$6, MATCH(C43, YearMap!$A$2:$A$6, 0)) )</f>
        <v>5407816.793916665</v>
      </c>
      <c r="AE43" s="2">
        <f>(W43 - (1-Parameters_Public!$C$43)*$G43*$AB43*$J43*(1-$K43)) + AB43*INDEX(YearMap!$Q$2:$Q$6, MATCH(C43, YearMap!$A$2:$A$6, 0))</f>
        <v>5388544.8533058409</v>
      </c>
      <c r="AF43" s="2">
        <f t="shared" si="18"/>
        <v>19271.940610824153</v>
      </c>
      <c r="AG43" t="str">
        <f t="shared" si="19"/>
        <v>D2_Repurpose_Echo_lease_PimaTargets|FY2027</v>
      </c>
    </row>
    <row r="44" spans="1:33" x14ac:dyDescent="0.35">
      <c r="A44" t="str">
        <f t="shared" si="10"/>
        <v>D2_Repurpose_Echo_lease_PimaTargets|FY2028</v>
      </c>
      <c r="B44" t="str">
        <f>Scenarios!A11</f>
        <v>D2_Repurpose_Echo_lease_PimaTargets</v>
      </c>
      <c r="C44" t="s">
        <v>189</v>
      </c>
      <c r="D44">
        <f>IF(Scenarios!D11=1,0, L44)</f>
        <v>0</v>
      </c>
      <c r="E44">
        <f>IF(Scenarios!E11=1,0, M44)</f>
        <v>346</v>
      </c>
      <c r="F44">
        <f t="shared" si="11"/>
        <v>346</v>
      </c>
      <c r="G44" s="2">
        <f>YearMap!B4</f>
        <v>8828.7836052497714</v>
      </c>
      <c r="H44" s="2">
        <f>YearMap!C4</f>
        <v>938384.57490393298</v>
      </c>
      <c r="I44" s="2">
        <f>YearMap!D4</f>
        <v>1080785.3469710669</v>
      </c>
      <c r="J44">
        <f>1-BaselineCalc!$B$5</f>
        <v>0.99299999999999999</v>
      </c>
      <c r="K44">
        <f>Scenarios!G11</f>
        <v>0</v>
      </c>
      <c r="L44">
        <f>IF(Scenarios!$Q11=1,BaselineCalc!$B$7*(1+Parameters_Public!$C44)^(IF($C44="FY2026",0,IF($C44="FY2027",1,IF($C44="FY2028",2,IF($C44="FY2029",3,IF($C44="FY2030",4,0))))))+ROUND(Scenarios!K11*Scenarios!$F11,0),BaselineCalc!$B$7+ROUND(Scenarios!K11*Scenarios!$F11,0))</f>
        <v>257</v>
      </c>
      <c r="M44">
        <f>IF(Scenarios!$R11=1,BaselineCalc!$B$8*(1+Parameters_Public!$C45)^(IF($C44="FY2026",0,IF($C44="FY2027",1,IF($C44="FY2028",2,IF($C44="FY2029",3,IF($C44="FY2030",4,0))))))+Scenarios!K11-ROUND(Scenarios!K11*Scenarios!$F11,0),BaselineCalc!$B$8+Scenarios!K11-ROUND(Scenarios!K11*Scenarios!$F11,0))</f>
        <v>346</v>
      </c>
      <c r="N44" s="11">
        <f t="shared" si="12"/>
        <v>257</v>
      </c>
      <c r="O44" s="11">
        <f>(Parameters_Public!$C$23*(L44-D44)+Parameters_Public!$C$24*(M44-E44))</f>
        <v>154.19999999999999</v>
      </c>
      <c r="P44">
        <f>YearMap!E4</f>
        <v>600</v>
      </c>
      <c r="Q44">
        <f>IF(Scenarios!N11="lease", YearMap!F4, YearMap!G4)</f>
        <v>0.15</v>
      </c>
      <c r="R44" s="2">
        <f>IF(Scenarios!D11=1, Q44*H44, H44)</f>
        <v>140757.68623558994</v>
      </c>
      <c r="S44" s="2">
        <f>IF(Scenarios!E11=1, Q44*I44, I44)</f>
        <v>1080785.3469710669</v>
      </c>
      <c r="T44" s="2">
        <f>IF(C44="FY2026", (Scenarios!D11+Scenarios!E11)*BaselineCalc!$B$22, 0)</f>
        <v>0</v>
      </c>
      <c r="U44" s="2">
        <f t="shared" si="13"/>
        <v>4246368.0454987157</v>
      </c>
      <c r="V44" s="2">
        <f t="shared" si="14"/>
        <v>1453918.4319295147</v>
      </c>
      <c r="W44" s="2">
        <f>U44+V44+IF(Parameters_Public!$C$28=1, T44, 0)</f>
        <v>5700286.4774282305</v>
      </c>
      <c r="X44" s="2">
        <f t="shared" si="15"/>
        <v>11396.014549036847</v>
      </c>
      <c r="Y44" s="2">
        <f>INDEX(YearMap!$I$2:$I$6, MATCH(C44, YearMap!$A$2:$A$6, 0))</f>
        <v>5266.7831249999999</v>
      </c>
      <c r="Z44" s="2">
        <f>W44 - ((Y44 + IF(Parameters_Public!$C$20=1, Parameters_Public!$C$19, 0))*AC44)</f>
        <v>2689716.1683032308</v>
      </c>
      <c r="AA44" s="2">
        <f t="shared" si="16"/>
        <v>5377.2814240368471</v>
      </c>
      <c r="AB44">
        <f>MAX(0, (MAX(0, $D44-BaselineCalc!$B$7) + MAX(0, $E44-BaselineCalc!$B$8)))</f>
        <v>50</v>
      </c>
      <c r="AC44" s="11">
        <f t="shared" si="17"/>
        <v>500.2</v>
      </c>
      <c r="AD44" s="2">
        <f>( (Y44 + IF(Parameters_Public!$C20=1, INDEX(YearMap!$O$2:$O$6, MATCH(C44, YearMap!$A$2:$A$6, 0)), 0)) * AC44 ) + AC44*INDEX(YearMap!$P$2:$P$6, MATCH(C44, YearMap!$A$2:$A$6, 0)) + AB44*( INDEX(YearMap!$R$2:$R$6, MATCH(C44, YearMap!$A$2:$A$6, 0)) - INDEX(YearMap!$P$2:$P$6, MATCH(C44, YearMap!$A$2:$A$6, 0)) )</f>
        <v>5721354.9319937499</v>
      </c>
      <c r="AE44" s="2">
        <f>(W44 - (1-Parameters_Public!$C$43)*$G44*$AB44*$J44*(1-$K44)) + AB44*INDEX(YearMap!$Q$2:$Q$6, MATCH(C44, YearMap!$A$2:$A$6, 0))</f>
        <v>5530946.8350279704</v>
      </c>
      <c r="AF44" s="2">
        <f t="shared" si="18"/>
        <v>190408.09696577955</v>
      </c>
      <c r="AG44" t="str">
        <f t="shared" si="19"/>
        <v>D2_Repurpose_Echo_lease_PimaTargets|FY2028</v>
      </c>
    </row>
    <row r="45" spans="1:33" x14ac:dyDescent="0.35">
      <c r="A45" t="str">
        <f t="shared" si="10"/>
        <v>D2_Repurpose_Echo_lease_PimaTargets|FY2029</v>
      </c>
      <c r="B45" t="str">
        <f>Scenarios!A11</f>
        <v>D2_Repurpose_Echo_lease_PimaTargets</v>
      </c>
      <c r="C45" t="s">
        <v>190</v>
      </c>
      <c r="D45">
        <f>IF(Scenarios!D11=1,0, L45)</f>
        <v>0</v>
      </c>
      <c r="E45">
        <f>IF(Scenarios!E11=1,0, M45)</f>
        <v>346</v>
      </c>
      <c r="F45">
        <f t="shared" si="11"/>
        <v>346</v>
      </c>
      <c r="G45" s="2">
        <f>YearMap!B5</f>
        <v>9049.5031953810158</v>
      </c>
      <c r="H45" s="2">
        <f>YearMap!C5</f>
        <v>961844.18927653122</v>
      </c>
      <c r="I45" s="2">
        <f>YearMap!D5</f>
        <v>1107804.9806453434</v>
      </c>
      <c r="J45">
        <f>1-BaselineCalc!$B$5</f>
        <v>0.99299999999999999</v>
      </c>
      <c r="K45">
        <f>Scenarios!G11</f>
        <v>0</v>
      </c>
      <c r="L45">
        <f>IF(Scenarios!$Q11=1,BaselineCalc!$B$7*(1+Parameters_Public!$C44)^(IF($C45="FY2026",0,IF($C45="FY2027",1,IF($C45="FY2028",2,IF($C45="FY2029",3,IF($C45="FY2030",4,0))))))+ROUND(Scenarios!L11*Scenarios!$F11,0),BaselineCalc!$B$7+ROUND(Scenarios!L11*Scenarios!$F11,0))</f>
        <v>257</v>
      </c>
      <c r="M45">
        <f>IF(Scenarios!$R11=1,BaselineCalc!$B$8*(1+Parameters_Public!$C45)^(IF($C45="FY2026",0,IF($C45="FY2027",1,IF($C45="FY2028",2,IF($C45="FY2029",3,IF($C45="FY2030",4,0))))))+Scenarios!L11-ROUND(Scenarios!L11*Scenarios!$F11,0),BaselineCalc!$B$8+Scenarios!L11-ROUND(Scenarios!L11*Scenarios!$F11,0))</f>
        <v>346</v>
      </c>
      <c r="N45" s="11">
        <f t="shared" si="12"/>
        <v>257</v>
      </c>
      <c r="O45" s="11">
        <f>(Parameters_Public!$C$23*(L45-D45)+Parameters_Public!$C$24*(M45-E45))</f>
        <v>154.19999999999999</v>
      </c>
      <c r="P45">
        <f>YearMap!E5</f>
        <v>500</v>
      </c>
      <c r="Q45">
        <f>IF(Scenarios!N11="lease", YearMap!F5, YearMap!G5)</f>
        <v>0.1</v>
      </c>
      <c r="R45" s="2">
        <f>IF(Scenarios!D11=1, Q45*H45, H45)</f>
        <v>96184.418927653125</v>
      </c>
      <c r="S45" s="2">
        <f>IF(Scenarios!E11=1, Q45*I45, I45)</f>
        <v>1107804.9806453434</v>
      </c>
      <c r="T45" s="2">
        <f>IF(C45="FY2026", (Scenarios!D11+Scenarios!E11)*BaselineCalc!$B$22, 0)</f>
        <v>0</v>
      </c>
      <c r="U45" s="2">
        <f t="shared" si="13"/>
        <v>4304771.6826386042</v>
      </c>
      <c r="V45" s="2">
        <f t="shared" si="14"/>
        <v>1472533.3927277524</v>
      </c>
      <c r="W45" s="2">
        <f>U45+V45+IF(Parameters_Public!$C$28=1, T45, 0)</f>
        <v>5777305.0753663564</v>
      </c>
      <c r="X45" s="2">
        <f t="shared" si="15"/>
        <v>11549.990154670844</v>
      </c>
      <c r="Y45" s="2">
        <f>INDEX(YearMap!$I$2:$I$6, MATCH(C45, YearMap!$A$2:$A$6, 0))</f>
        <v>5398.4527031249991</v>
      </c>
      <c r="Z45" s="2">
        <f>W45 - ((Y45 + IF(Parameters_Public!$C$20=1, Parameters_Public!$C$19, 0))*AC45)</f>
        <v>2700873.643263232</v>
      </c>
      <c r="AA45" s="2">
        <f t="shared" si="16"/>
        <v>5399.5874515458454</v>
      </c>
      <c r="AB45">
        <f>MAX(0, (MAX(0, $D45-BaselineCalc!$B$7) + MAX(0, $E45-BaselineCalc!$B$8)))</f>
        <v>50</v>
      </c>
      <c r="AC45" s="11">
        <f t="shared" si="17"/>
        <v>500.2</v>
      </c>
      <c r="AD45" s="2">
        <f>( (Y45 + IF(Parameters_Public!$C20=1, INDEX(YearMap!$O$2:$O$6, MATCH(C45, YearMap!$A$2:$A$6, 0)), 0)) * AC45 ) + AC45*INDEX(YearMap!$P$2:$P$6, MATCH(C45, YearMap!$A$2:$A$6, 0)) + AB45*( INDEX(YearMap!$R$2:$R$6, MATCH(C45, YearMap!$A$2:$A$6, 0)) - INDEX(YearMap!$P$2:$P$6, MATCH(C45, YearMap!$A$2:$A$6, 0)) )</f>
        <v>5864388.8052935926</v>
      </c>
      <c r="AE45" s="2">
        <f>(W45 - (1-Parameters_Public!$C$43)*$G45*$AB45*$J45*(1-$K45)) + AB45*INDEX(YearMap!$Q$2:$Q$6, MATCH(C45, YearMap!$A$2:$A$6, 0))</f>
        <v>5602581.941906089</v>
      </c>
      <c r="AF45" s="2">
        <f t="shared" si="18"/>
        <v>261806.86338750366</v>
      </c>
      <c r="AG45" t="str">
        <f t="shared" si="19"/>
        <v>D2_Repurpose_Echo_lease_PimaTargets|FY2029</v>
      </c>
    </row>
    <row r="46" spans="1:33" x14ac:dyDescent="0.35">
      <c r="A46" t="str">
        <f t="shared" si="10"/>
        <v>D2_Repurpose_Echo_lease_PimaTargets|FY2030</v>
      </c>
      <c r="B46" t="str">
        <f>Scenarios!A11</f>
        <v>D2_Repurpose_Echo_lease_PimaTargets</v>
      </c>
      <c r="C46" t="s">
        <v>102</v>
      </c>
      <c r="D46">
        <f>IF(Scenarios!D11=1,0, L46)</f>
        <v>0</v>
      </c>
      <c r="E46">
        <f>IF(Scenarios!E11=1,0, M46)</f>
        <v>346</v>
      </c>
      <c r="F46">
        <f t="shared" si="11"/>
        <v>346</v>
      </c>
      <c r="G46" s="2">
        <f>YearMap!B6</f>
        <v>9275.7407752655399</v>
      </c>
      <c r="H46" s="2">
        <f>YearMap!C6</f>
        <v>985890.29400844453</v>
      </c>
      <c r="I46" s="2">
        <f>YearMap!D6</f>
        <v>1135500.1051614769</v>
      </c>
      <c r="J46">
        <f>1-BaselineCalc!$B$5</f>
        <v>0.99299999999999999</v>
      </c>
      <c r="K46">
        <f>Scenarios!G11</f>
        <v>0</v>
      </c>
      <c r="L46">
        <f>IF(Scenarios!$Q11=1,BaselineCalc!$B$7*(1+Parameters_Public!$C44)^(IF($C46="FY2026",0,IF($C46="FY2027",1,IF($C46="FY2028",2,IF($C46="FY2029",3,IF($C46="FY2030",4,0))))))+ROUND(Scenarios!M11*Scenarios!$F11,0),BaselineCalc!$B$7+ROUND(Scenarios!M11*Scenarios!$F11,0))</f>
        <v>257</v>
      </c>
      <c r="M46">
        <f>IF(Scenarios!$R11=1,BaselineCalc!$B$8*(1+Parameters_Public!$C45)^(IF($C46="FY2026",0,IF($C46="FY2027",1,IF($C46="FY2028",2,IF($C46="FY2029",3,IF($C46="FY2030",4,0))))))+Scenarios!M11-ROUND(Scenarios!M11*Scenarios!$F11,0),BaselineCalc!$B$8+Scenarios!M11-ROUND(Scenarios!M11*Scenarios!$F11,0))</f>
        <v>346</v>
      </c>
      <c r="N46" s="11">
        <f t="shared" si="12"/>
        <v>257</v>
      </c>
      <c r="O46" s="11">
        <f>(Parameters_Public!$C$23*(L46-D46)+Parameters_Public!$C$24*(M46-E46))</f>
        <v>154.19999999999999</v>
      </c>
      <c r="P46">
        <f>YearMap!E6</f>
        <v>300</v>
      </c>
      <c r="Q46">
        <f>IF(Scenarios!N11="lease", YearMap!F6, YearMap!G6)</f>
        <v>0.1</v>
      </c>
      <c r="R46" s="2">
        <f>IF(Scenarios!D11=1, Q46*H46, H46)</f>
        <v>98589.029400844462</v>
      </c>
      <c r="S46" s="2">
        <f>IF(Scenarios!E11=1, Q46*I46, I46)</f>
        <v>1135500.1051614769</v>
      </c>
      <c r="T46" s="2">
        <f>IF(C46="FY2026", (Scenarios!D11+Scenarios!E11)*BaselineCalc!$B$22, 0)</f>
        <v>0</v>
      </c>
      <c r="U46" s="2">
        <f t="shared" si="13"/>
        <v>4412390.9747045683</v>
      </c>
      <c r="V46" s="2">
        <f t="shared" si="14"/>
        <v>1476579.2275459461</v>
      </c>
      <c r="W46" s="2">
        <f>U46+V46+IF(Parameters_Public!$C$28=1, T46, 0)</f>
        <v>5888970.2022505142</v>
      </c>
      <c r="X46" s="2">
        <f t="shared" si="15"/>
        <v>11773.231112056206</v>
      </c>
      <c r="Y46" s="2">
        <f>INDEX(YearMap!$I$2:$I$6, MATCH(C46, YearMap!$A$2:$A$6, 0))</f>
        <v>5533.4140207031242</v>
      </c>
      <c r="Z46" s="2">
        <f>W46 - ((Y46 + IF(Parameters_Public!$C$20=1, Parameters_Public!$C$19, 0))*AC46)</f>
        <v>2745031.1190948118</v>
      </c>
      <c r="AA46" s="2">
        <f t="shared" si="16"/>
        <v>5487.8670913530823</v>
      </c>
      <c r="AB46">
        <f>MAX(0, (MAX(0, $D46-BaselineCalc!$B$7) + MAX(0, $E46-BaselineCalc!$B$8)))</f>
        <v>50</v>
      </c>
      <c r="AC46" s="11">
        <f t="shared" si="17"/>
        <v>500.2</v>
      </c>
      <c r="AD46" s="2">
        <f>( (Y46 + IF(Parameters_Public!$C20=1, INDEX(YearMap!$O$2:$O$6, MATCH(C46, YearMap!$A$2:$A$6, 0)), 0)) * AC46 ) + AC46*INDEX(YearMap!$P$2:$P$6, MATCH(C46, YearMap!$A$2:$A$6, 0)) + AB46*( INDEX(YearMap!$R$2:$R$6, MATCH(C46, YearMap!$A$2:$A$6, 0)) - INDEX(YearMap!$P$2:$P$6, MATCH(C46, YearMap!$A$2:$A$6, 0)) )</f>
        <v>6010998.5254259314</v>
      </c>
      <c r="AE46" s="2">
        <f>(W46 - (1-Parameters_Public!$C$43)*$G46*$AB46*$J46*(1-$K46)) + AB46*INDEX(YearMap!$Q$2:$Q$6, MATCH(C46, YearMap!$A$2:$A$6, 0))</f>
        <v>5707753.9904537406</v>
      </c>
      <c r="AF46" s="2">
        <f t="shared" si="18"/>
        <v>303244.53497219086</v>
      </c>
      <c r="AG46" t="str">
        <f t="shared" si="19"/>
        <v>D2_Repurpose_Echo_lease_PimaTargets|FY2030</v>
      </c>
    </row>
    <row r="47" spans="1:33" x14ac:dyDescent="0.35">
      <c r="A47" t="str">
        <f t="shared" si="10"/>
        <v>D1_Repurpose_Echo_ops_PimaTargets|FY2026</v>
      </c>
      <c r="B47" t="str">
        <f>Scenarios!A12</f>
        <v>D1_Repurpose_Echo_ops_PimaTargets</v>
      </c>
      <c r="C47" t="s">
        <v>187</v>
      </c>
      <c r="D47">
        <f>IF(Scenarios!D12=1,0, L47)</f>
        <v>0</v>
      </c>
      <c r="E47">
        <f>IF(Scenarios!E12=1,0, M47)</f>
        <v>312.66666666666669</v>
      </c>
      <c r="F47">
        <f t="shared" si="11"/>
        <v>312.66666666666669</v>
      </c>
      <c r="G47" s="2">
        <f>YearMap!B2</f>
        <v>8403.3633363471963</v>
      </c>
      <c r="H47" s="2">
        <f>YearMap!C2</f>
        <v>922499.99999999988</v>
      </c>
      <c r="I47" s="2">
        <f>YearMap!D2</f>
        <v>999374.99999999988</v>
      </c>
      <c r="J47">
        <f>1-BaselineCalc!$B$5</f>
        <v>0.99299999999999999</v>
      </c>
      <c r="K47">
        <f>Scenarios!G12</f>
        <v>0</v>
      </c>
      <c r="L47">
        <f>IF(Scenarios!$Q12=1,BaselineCalc!$B$7*(1+Parameters_Public!$C44)^(IF($C47="FY2026",0,IF($C47="FY2027",1,IF($C47="FY2028",2,IF($C47="FY2029",3,IF($C47="FY2030",4,0))))))+ROUND(Scenarios!I12*Scenarios!$F12,0),BaselineCalc!$B$7+ROUND(Scenarios!I12*Scenarios!$F12,0))</f>
        <v>257</v>
      </c>
      <c r="M47">
        <f>IF(Scenarios!$R12=1,BaselineCalc!$B$8*(1+Parameters_Public!$C45)^(IF($C47="FY2026",0,IF($C47="FY2027",1,IF($C47="FY2028",2,IF($C47="FY2029",3,IF($C47="FY2030",4,0))))))+Scenarios!I12-ROUND(Scenarios!I12*Scenarios!$F12,0),BaselineCalc!$B$8+Scenarios!I12-ROUND(Scenarios!I12*Scenarios!$F12,0))</f>
        <v>312.66666666666669</v>
      </c>
      <c r="N47" s="11">
        <f t="shared" si="12"/>
        <v>257</v>
      </c>
      <c r="O47" s="11">
        <f>(Parameters_Public!$C$23*(L47-D47)+Parameters_Public!$C$24*(M47-E47))</f>
        <v>154.19999999999999</v>
      </c>
      <c r="P47">
        <f>YearMap!E2</f>
        <v>1000</v>
      </c>
      <c r="Q47">
        <f>IF(Scenarios!N12="lease", YearMap!F2, YearMap!G2)</f>
        <v>0.75</v>
      </c>
      <c r="R47" s="2">
        <f>IF(Scenarios!D12=1, Q47*H47, H47)</f>
        <v>691874.99999999988</v>
      </c>
      <c r="S47" s="2">
        <f>IF(Scenarios!E12=1, Q47*I47, I47)</f>
        <v>999374.99999999988</v>
      </c>
      <c r="T47" s="2">
        <f>IF(C47="FY2026", (Scenarios!D12+Scenarios!E12)*BaselineCalc!$B$22, 0)</f>
        <v>1000000</v>
      </c>
      <c r="U47" s="2">
        <f t="shared" si="13"/>
        <v>4288470.691942405</v>
      </c>
      <c r="V47" s="2">
        <f t="shared" si="14"/>
        <v>1449998.6264647376</v>
      </c>
      <c r="W47" s="2">
        <f>U47+V47+IF(Parameters_Public!$C$28=1, T47, 0)</f>
        <v>5738469.3184071425</v>
      </c>
      <c r="X47" s="2">
        <f t="shared" si="15"/>
        <v>12291.45220278554</v>
      </c>
      <c r="Y47" s="2">
        <f>INDEX(YearMap!$I$2:$I$6, MATCH(C47, YearMap!$A$2:$A$6, 0))</f>
        <v>5013</v>
      </c>
      <c r="Z47" s="2">
        <f>W47 - ((Y47 + IF(Parameters_Public!$C$20=1, Parameters_Public!$C$19, 0))*AC47)</f>
        <v>3047006.3284071423</v>
      </c>
      <c r="AA47" s="2">
        <f t="shared" si="16"/>
        <v>6526.5022027855384</v>
      </c>
      <c r="AB47">
        <f>MAX(0, (MAX(0, $D47-BaselineCalc!$B$7) + MAX(0, $E47-BaselineCalc!$B$8)))</f>
        <v>16.666666666666686</v>
      </c>
      <c r="AC47" s="11">
        <f t="shared" si="17"/>
        <v>466.86666666666673</v>
      </c>
      <c r="AD47" s="2">
        <f>( (Y47 + IF(Parameters_Public!$C20=1, INDEX(YearMap!$O$2:$O$6, MATCH(C47, YearMap!$A$2:$A$6, 0)), 0)) * AC47 ) + AC47*INDEX(YearMap!$P$2:$P$6, MATCH(C47, YearMap!$A$2:$A$6, 0)) + AB47*( INDEX(YearMap!$R$2:$R$6, MATCH(C47, YearMap!$A$2:$A$6, 0)) - INDEX(YearMap!$P$2:$P$6, MATCH(C47, YearMap!$A$2:$A$6, 0)) )</f>
        <v>5106169.6566666672</v>
      </c>
      <c r="AE47" s="2">
        <f>(W47 - (1-Parameters_Public!$C$43)*$G47*$AB47*$J47*(1-$K47)) + AB47*INDEX(YearMap!$Q$2:$Q$6, MATCH(C47, YearMap!$A$2:$A$6, 0))</f>
        <v>5686172.3864538567</v>
      </c>
      <c r="AF47" s="2">
        <f t="shared" si="18"/>
        <v>-580002.72978718951</v>
      </c>
      <c r="AG47" t="str">
        <f t="shared" si="19"/>
        <v>D1_Repurpose_Echo_ops_PimaTargets|FY2026</v>
      </c>
    </row>
    <row r="48" spans="1:33" x14ac:dyDescent="0.35">
      <c r="A48" t="str">
        <f t="shared" si="10"/>
        <v>D1_Repurpose_Echo_ops_PimaTargets|FY2027</v>
      </c>
      <c r="B48" t="str">
        <f>Scenarios!A12</f>
        <v>D1_Repurpose_Echo_ops_PimaTargets</v>
      </c>
      <c r="C48" t="s">
        <v>188</v>
      </c>
      <c r="D48">
        <f>IF(Scenarios!D12=1,0, L48)</f>
        <v>0</v>
      </c>
      <c r="E48">
        <f>IF(Scenarios!E12=1,0, M48)</f>
        <v>329.33333333333331</v>
      </c>
      <c r="F48">
        <f t="shared" si="11"/>
        <v>329.33333333333331</v>
      </c>
      <c r="G48" s="2">
        <f>YearMap!B3</f>
        <v>8613.4474197558757</v>
      </c>
      <c r="H48" s="2">
        <f>YearMap!C3</f>
        <v>915497.14624773955</v>
      </c>
      <c r="I48" s="2">
        <f>YearMap!D3</f>
        <v>1054424.7287522603</v>
      </c>
      <c r="J48">
        <f>1-BaselineCalc!$B$5</f>
        <v>0.99299999999999999</v>
      </c>
      <c r="K48">
        <f>Scenarios!G12</f>
        <v>0</v>
      </c>
      <c r="L48">
        <f>IF(Scenarios!$Q12=1,BaselineCalc!$B$7*(1+Parameters_Public!$C44)^(IF($C48="FY2026",0,IF($C48="FY2027",1,IF($C48="FY2028",2,IF($C48="FY2029",3,IF($C48="FY2030",4,0))))))+ROUND(Scenarios!J12*Scenarios!$F12,0),BaselineCalc!$B$7+ROUND(Scenarios!J12*Scenarios!$F12,0))</f>
        <v>257</v>
      </c>
      <c r="M48">
        <f>IF(Scenarios!$R12=1,BaselineCalc!$B$8*(1+Parameters_Public!$C45)^(IF($C48="FY2026",0,IF($C48="FY2027",1,IF($C48="FY2028",2,IF($C48="FY2029",3,IF($C48="FY2030",4,0))))))+Scenarios!J12-ROUND(Scenarios!J12*Scenarios!$F12,0),BaselineCalc!$B$8+Scenarios!J12-ROUND(Scenarios!J12*Scenarios!$F12,0))</f>
        <v>329.33333333333331</v>
      </c>
      <c r="N48" s="11">
        <f t="shared" si="12"/>
        <v>257</v>
      </c>
      <c r="O48" s="11">
        <f>(Parameters_Public!$C$23*(L48-D48)+Parameters_Public!$C$24*(M48-E48))</f>
        <v>154.19999999999999</v>
      </c>
      <c r="P48">
        <f>YearMap!E3</f>
        <v>800</v>
      </c>
      <c r="Q48">
        <f>IF(Scenarios!N12="lease", YearMap!F3, YearMap!G3)</f>
        <v>0.7</v>
      </c>
      <c r="R48" s="2">
        <f>IF(Scenarios!D12=1, Q48*H48, H48)</f>
        <v>640848.00237341761</v>
      </c>
      <c r="S48" s="2">
        <f>IF(Scenarios!E12=1, Q48*I48, I48)</f>
        <v>1054424.7287522603</v>
      </c>
      <c r="T48" s="2">
        <f>IF(C48="FY2026", (Scenarios!D12+Scenarios!E12)*BaselineCalc!$B$22, 0)</f>
        <v>0</v>
      </c>
      <c r="U48" s="2">
        <f t="shared" si="13"/>
        <v>4500244.3047957225</v>
      </c>
      <c r="V48" s="2">
        <f t="shared" si="14"/>
        <v>1451553.592126356</v>
      </c>
      <c r="W48" s="2">
        <f>U48+V48+IF(Parameters_Public!$C$28=1, T48, 0)</f>
        <v>5951797.896922078</v>
      </c>
      <c r="X48" s="2">
        <f t="shared" si="15"/>
        <v>12308.971246909028</v>
      </c>
      <c r="Y48" s="2">
        <f>INDEX(YearMap!$I$2:$I$6, MATCH(C48, YearMap!$A$2:$A$6, 0))</f>
        <v>5138.3249999999998</v>
      </c>
      <c r="Z48" s="2">
        <f>W48 - ((Y48 + IF(Parameters_Public!$C$20=1, Parameters_Public!$C$19, 0))*AC48)</f>
        <v>3103653.5919220787</v>
      </c>
      <c r="AA48" s="2">
        <f t="shared" si="16"/>
        <v>6418.6962469090295</v>
      </c>
      <c r="AB48">
        <f>MAX(0, (MAX(0, $D48-BaselineCalc!$B$7) + MAX(0, $E48-BaselineCalc!$B$8)))</f>
        <v>33.333333333333314</v>
      </c>
      <c r="AC48" s="11">
        <f t="shared" si="17"/>
        <v>483.53333333333325</v>
      </c>
      <c r="AD48" s="2">
        <f>( (Y48 + IF(Parameters_Public!$C20=1, INDEX(YearMap!$O$2:$O$6, MATCH(C48, YearMap!$A$2:$A$6, 0)), 0)) * AC48 ) + AC48*INDEX(YearMap!$P$2:$P$6, MATCH(C48, YearMap!$A$2:$A$6, 0)) + AB48*( INDEX(YearMap!$R$2:$R$6, MATCH(C48, YearMap!$A$2:$A$6, 0)) - INDEX(YearMap!$P$2:$P$6, MATCH(C48, YearMap!$A$2:$A$6, 0)) )</f>
        <v>5407816.793916665</v>
      </c>
      <c r="AE48" s="2">
        <f>(W48 - (1-Parameters_Public!$C$43)*$G48*$AB48*$J48*(1-$K48)) + AB48*INDEX(YearMap!$Q$2:$Q$6, MATCH(C48, YearMap!$A$2:$A$6, 0))</f>
        <v>5843089.1864178432</v>
      </c>
      <c r="AF48" s="2">
        <f t="shared" si="18"/>
        <v>-435272.3925011782</v>
      </c>
      <c r="AG48" t="str">
        <f t="shared" si="19"/>
        <v>D1_Repurpose_Echo_ops_PimaTargets|FY2027</v>
      </c>
    </row>
    <row r="49" spans="1:33" x14ac:dyDescent="0.35">
      <c r="A49" t="str">
        <f t="shared" si="10"/>
        <v>D1_Repurpose_Echo_ops_PimaTargets|FY2028</v>
      </c>
      <c r="B49" t="str">
        <f>Scenarios!A12</f>
        <v>D1_Repurpose_Echo_ops_PimaTargets</v>
      </c>
      <c r="C49" t="s">
        <v>189</v>
      </c>
      <c r="D49">
        <f>IF(Scenarios!D12=1,0, L49)</f>
        <v>0</v>
      </c>
      <c r="E49">
        <f>IF(Scenarios!E12=1,0, M49)</f>
        <v>346</v>
      </c>
      <c r="F49">
        <f t="shared" si="11"/>
        <v>346</v>
      </c>
      <c r="G49" s="2">
        <f>YearMap!B4</f>
        <v>8828.7836052497714</v>
      </c>
      <c r="H49" s="2">
        <f>YearMap!C4</f>
        <v>938384.57490393298</v>
      </c>
      <c r="I49" s="2">
        <f>YearMap!D4</f>
        <v>1080785.3469710669</v>
      </c>
      <c r="J49">
        <f>1-BaselineCalc!$B$5</f>
        <v>0.99299999999999999</v>
      </c>
      <c r="K49">
        <f>Scenarios!G12</f>
        <v>0</v>
      </c>
      <c r="L49">
        <f>IF(Scenarios!$Q12=1,BaselineCalc!$B$7*(1+Parameters_Public!$C44)^(IF($C49="FY2026",0,IF($C49="FY2027",1,IF($C49="FY2028",2,IF($C49="FY2029",3,IF($C49="FY2030",4,0))))))+ROUND(Scenarios!K12*Scenarios!$F12,0),BaselineCalc!$B$7+ROUND(Scenarios!K12*Scenarios!$F12,0))</f>
        <v>257</v>
      </c>
      <c r="M49">
        <f>IF(Scenarios!$R12=1,BaselineCalc!$B$8*(1+Parameters_Public!$C45)^(IF($C49="FY2026",0,IF($C49="FY2027",1,IF($C49="FY2028",2,IF($C49="FY2029",3,IF($C49="FY2030",4,0))))))+Scenarios!K12-ROUND(Scenarios!K12*Scenarios!$F12,0),BaselineCalc!$B$8+Scenarios!K12-ROUND(Scenarios!K12*Scenarios!$F12,0))</f>
        <v>346</v>
      </c>
      <c r="N49" s="11">
        <f t="shared" si="12"/>
        <v>257</v>
      </c>
      <c r="O49" s="11">
        <f>(Parameters_Public!$C$23*(L49-D49)+Parameters_Public!$C$24*(M49-E49))</f>
        <v>154.19999999999999</v>
      </c>
      <c r="P49">
        <f>YearMap!E4</f>
        <v>600</v>
      </c>
      <c r="Q49">
        <f>IF(Scenarios!N12="lease", YearMap!F4, YearMap!G4)</f>
        <v>0.65</v>
      </c>
      <c r="R49" s="2">
        <f>IF(Scenarios!D12=1, Q49*H49, H49)</f>
        <v>609949.97368755646</v>
      </c>
      <c r="S49" s="2">
        <f>IF(Scenarios!E12=1, Q49*I49, I49)</f>
        <v>1080785.3469710669</v>
      </c>
      <c r="T49" s="2">
        <f>IF(C49="FY2026", (Scenarios!D12+Scenarios!E12)*BaselineCalc!$B$22, 0)</f>
        <v>0</v>
      </c>
      <c r="U49" s="2">
        <f t="shared" si="13"/>
        <v>4712275.9869385185</v>
      </c>
      <c r="V49" s="2">
        <f t="shared" si="14"/>
        <v>1453918.4319295147</v>
      </c>
      <c r="W49" s="2">
        <f>U49+V49+IF(Parameters_Public!$C$28=1, T49, 0)</f>
        <v>6166194.4188680332</v>
      </c>
      <c r="X49" s="2">
        <f t="shared" si="15"/>
        <v>12327.45785459423</v>
      </c>
      <c r="Y49" s="2">
        <f>INDEX(YearMap!$I$2:$I$6, MATCH(C49, YearMap!$A$2:$A$6, 0))</f>
        <v>5266.7831249999999</v>
      </c>
      <c r="Z49" s="2">
        <f>W49 - ((Y49 + IF(Parameters_Public!$C$20=1, Parameters_Public!$C$19, 0))*AC49)</f>
        <v>3155624.1097430335</v>
      </c>
      <c r="AA49" s="2">
        <f t="shared" si="16"/>
        <v>6308.7247295942298</v>
      </c>
      <c r="AB49">
        <f>MAX(0, (MAX(0, $D49-BaselineCalc!$B$7) + MAX(0, $E49-BaselineCalc!$B$8)))</f>
        <v>50</v>
      </c>
      <c r="AC49" s="11">
        <f t="shared" si="17"/>
        <v>500.2</v>
      </c>
      <c r="AD49" s="2">
        <f>( (Y49 + IF(Parameters_Public!$C20=1, INDEX(YearMap!$O$2:$O$6, MATCH(C49, YearMap!$A$2:$A$6, 0)), 0)) * AC49 ) + AC49*INDEX(YearMap!$P$2:$P$6, MATCH(C49, YearMap!$A$2:$A$6, 0)) + AB49*( INDEX(YearMap!$R$2:$R$6, MATCH(C49, YearMap!$A$2:$A$6, 0)) - INDEX(YearMap!$P$2:$P$6, MATCH(C49, YearMap!$A$2:$A$6, 0)) )</f>
        <v>5721354.9319937499</v>
      </c>
      <c r="AE49" s="2">
        <f>(W49 - (1-Parameters_Public!$C$43)*$G49*$AB49*$J49*(1-$K49)) + AB49*INDEX(YearMap!$Q$2:$Q$6, MATCH(C49, YearMap!$A$2:$A$6, 0))</f>
        <v>5996854.7764677731</v>
      </c>
      <c r="AF49" s="2">
        <f t="shared" si="18"/>
        <v>-275499.84447402321</v>
      </c>
      <c r="AG49" t="str">
        <f t="shared" si="19"/>
        <v>D1_Repurpose_Echo_ops_PimaTargets|FY2028</v>
      </c>
    </row>
    <row r="50" spans="1:33" x14ac:dyDescent="0.35">
      <c r="A50" t="str">
        <f t="shared" si="10"/>
        <v>D1_Repurpose_Echo_ops_PimaTargets|FY2029</v>
      </c>
      <c r="B50" t="str">
        <f>Scenarios!A12</f>
        <v>D1_Repurpose_Echo_ops_PimaTargets</v>
      </c>
      <c r="C50" t="s">
        <v>190</v>
      </c>
      <c r="D50">
        <f>IF(Scenarios!D12=1,0, L50)</f>
        <v>0</v>
      </c>
      <c r="E50">
        <f>IF(Scenarios!E12=1,0, M50)</f>
        <v>346</v>
      </c>
      <c r="F50">
        <f t="shared" si="11"/>
        <v>346</v>
      </c>
      <c r="G50" s="2">
        <f>YearMap!B5</f>
        <v>9049.5031953810158</v>
      </c>
      <c r="H50" s="2">
        <f>YearMap!C5</f>
        <v>961844.18927653122</v>
      </c>
      <c r="I50" s="2">
        <f>YearMap!D5</f>
        <v>1107804.9806453434</v>
      </c>
      <c r="J50">
        <f>1-BaselineCalc!$B$5</f>
        <v>0.99299999999999999</v>
      </c>
      <c r="K50">
        <f>Scenarios!G12</f>
        <v>0</v>
      </c>
      <c r="L50">
        <f>IF(Scenarios!$Q12=1,BaselineCalc!$B$7*(1+Parameters_Public!$C44)^(IF($C50="FY2026",0,IF($C50="FY2027",1,IF($C50="FY2028",2,IF($C50="FY2029",3,IF($C50="FY2030",4,0))))))+ROUND(Scenarios!L12*Scenarios!$F12,0),BaselineCalc!$B$7+ROUND(Scenarios!L12*Scenarios!$F12,0))</f>
        <v>257</v>
      </c>
      <c r="M50">
        <f>IF(Scenarios!$R12=1,BaselineCalc!$B$8*(1+Parameters_Public!$C45)^(IF($C50="FY2026",0,IF($C50="FY2027",1,IF($C50="FY2028",2,IF($C50="FY2029",3,IF($C50="FY2030",4,0))))))+Scenarios!L12-ROUND(Scenarios!L12*Scenarios!$F12,0),BaselineCalc!$B$8+Scenarios!L12-ROUND(Scenarios!L12*Scenarios!$F12,0))</f>
        <v>346</v>
      </c>
      <c r="N50" s="11">
        <f t="shared" si="12"/>
        <v>257</v>
      </c>
      <c r="O50" s="11">
        <f>(Parameters_Public!$C$23*(L50-D50)+Parameters_Public!$C$24*(M50-E50))</f>
        <v>154.19999999999999</v>
      </c>
      <c r="P50">
        <f>YearMap!E5</f>
        <v>500</v>
      </c>
      <c r="Q50">
        <f>IF(Scenarios!N12="lease", YearMap!F5, YearMap!G5)</f>
        <v>0.6</v>
      </c>
      <c r="R50" s="2">
        <f>IF(Scenarios!D12=1, Q50*H50, H50)</f>
        <v>577106.51356591866</v>
      </c>
      <c r="S50" s="2">
        <f>IF(Scenarios!E12=1, Q50*I50, I50)</f>
        <v>1107804.9806453434</v>
      </c>
      <c r="T50" s="2">
        <f>IF(C50="FY2026", (Scenarios!D12+Scenarios!E12)*BaselineCalc!$B$22, 0)</f>
        <v>0</v>
      </c>
      <c r="U50" s="2">
        <f t="shared" si="13"/>
        <v>4782327.3226144016</v>
      </c>
      <c r="V50" s="2">
        <f t="shared" si="14"/>
        <v>1472533.3927277524</v>
      </c>
      <c r="W50" s="2">
        <f>U50+V50+IF(Parameters_Public!$C$28=1, T50, 0)</f>
        <v>6254860.7153421538</v>
      </c>
      <c r="X50" s="2">
        <f t="shared" si="15"/>
        <v>12504.71954286716</v>
      </c>
      <c r="Y50" s="2">
        <f>INDEX(YearMap!$I$2:$I$6, MATCH(C50, YearMap!$A$2:$A$6, 0))</f>
        <v>5398.4527031249991</v>
      </c>
      <c r="Z50" s="2">
        <f>W50 - ((Y50 + IF(Parameters_Public!$C$20=1, Parameters_Public!$C$19, 0))*AC50)</f>
        <v>3178429.2832390293</v>
      </c>
      <c r="AA50" s="2">
        <f t="shared" si="16"/>
        <v>6354.3168397421623</v>
      </c>
      <c r="AB50">
        <f>MAX(0, (MAX(0, $D50-BaselineCalc!$B$7) + MAX(0, $E50-BaselineCalc!$B$8)))</f>
        <v>50</v>
      </c>
      <c r="AC50" s="11">
        <f t="shared" si="17"/>
        <v>500.2</v>
      </c>
      <c r="AD50" s="2">
        <f>( (Y50 + IF(Parameters_Public!$C20=1, INDEX(YearMap!$O$2:$O$6, MATCH(C50, YearMap!$A$2:$A$6, 0)), 0)) * AC50 ) + AC50*INDEX(YearMap!$P$2:$P$6, MATCH(C50, YearMap!$A$2:$A$6, 0)) + AB50*( INDEX(YearMap!$R$2:$R$6, MATCH(C50, YearMap!$A$2:$A$6, 0)) - INDEX(YearMap!$P$2:$P$6, MATCH(C50, YearMap!$A$2:$A$6, 0)) )</f>
        <v>5864388.8052935926</v>
      </c>
      <c r="AE50" s="2">
        <f>(W50 - (1-Parameters_Public!$C$43)*$G50*$AB50*$J50*(1-$K50)) + AB50*INDEX(YearMap!$Q$2:$Q$6, MATCH(C50, YearMap!$A$2:$A$6, 0))</f>
        <v>6080137.5818818863</v>
      </c>
      <c r="AF50" s="2">
        <f t="shared" si="18"/>
        <v>-215748.77658829372</v>
      </c>
      <c r="AG50" t="str">
        <f t="shared" si="19"/>
        <v>D1_Repurpose_Echo_ops_PimaTargets|FY2029</v>
      </c>
    </row>
    <row r="51" spans="1:33" x14ac:dyDescent="0.35">
      <c r="A51" t="str">
        <f t="shared" si="10"/>
        <v>D1_Repurpose_Echo_ops_PimaTargets|FY2030</v>
      </c>
      <c r="B51" t="str">
        <f>Scenarios!A12</f>
        <v>D1_Repurpose_Echo_ops_PimaTargets</v>
      </c>
      <c r="C51" t="s">
        <v>102</v>
      </c>
      <c r="D51">
        <f>IF(Scenarios!D12=1,0, L51)</f>
        <v>0</v>
      </c>
      <c r="E51">
        <f>IF(Scenarios!E12=1,0, M51)</f>
        <v>346</v>
      </c>
      <c r="F51">
        <f t="shared" si="11"/>
        <v>346</v>
      </c>
      <c r="G51" s="2">
        <f>YearMap!B6</f>
        <v>9275.7407752655399</v>
      </c>
      <c r="H51" s="2">
        <f>YearMap!C6</f>
        <v>985890.29400844453</v>
      </c>
      <c r="I51" s="2">
        <f>YearMap!D6</f>
        <v>1135500.1051614769</v>
      </c>
      <c r="J51">
        <f>1-BaselineCalc!$B$5</f>
        <v>0.99299999999999999</v>
      </c>
      <c r="K51">
        <f>Scenarios!G12</f>
        <v>0</v>
      </c>
      <c r="L51">
        <f>IF(Scenarios!$Q12=1,BaselineCalc!$B$7*(1+Parameters_Public!$C44)^(IF($C51="FY2026",0,IF($C51="FY2027",1,IF($C51="FY2028",2,IF($C51="FY2029",3,IF($C51="FY2030",4,0))))))+ROUND(Scenarios!M12*Scenarios!$F12,0),BaselineCalc!$B$7+ROUND(Scenarios!M12*Scenarios!$F12,0))</f>
        <v>257</v>
      </c>
      <c r="M51">
        <f>IF(Scenarios!$R12=1,BaselineCalc!$B$8*(1+Parameters_Public!$C45)^(IF($C51="FY2026",0,IF($C51="FY2027",1,IF($C51="FY2028",2,IF($C51="FY2029",3,IF($C51="FY2030",4,0))))))+Scenarios!M12-ROUND(Scenarios!M12*Scenarios!$F12,0),BaselineCalc!$B$8+Scenarios!M12-ROUND(Scenarios!M12*Scenarios!$F12,0))</f>
        <v>346</v>
      </c>
      <c r="N51" s="11">
        <f t="shared" si="12"/>
        <v>257</v>
      </c>
      <c r="O51" s="11">
        <f>(Parameters_Public!$C$23*(L51-D51)+Parameters_Public!$C$24*(M51-E51))</f>
        <v>154.19999999999999</v>
      </c>
      <c r="P51">
        <f>YearMap!E6</f>
        <v>300</v>
      </c>
      <c r="Q51">
        <f>IF(Scenarios!N12="lease", YearMap!F6, YearMap!G6)</f>
        <v>0.6</v>
      </c>
      <c r="R51" s="2">
        <f>IF(Scenarios!D12=1, Q51*H51, H51)</f>
        <v>591534.17640506674</v>
      </c>
      <c r="S51" s="2">
        <f>IF(Scenarios!E12=1, Q51*I51, I51)</f>
        <v>1135500.1051614769</v>
      </c>
      <c r="T51" s="2">
        <f>IF(C51="FY2026", (Scenarios!D12+Scenarios!E12)*BaselineCalc!$B$22, 0)</f>
        <v>0</v>
      </c>
      <c r="U51" s="2">
        <f t="shared" si="13"/>
        <v>4901885.5056797611</v>
      </c>
      <c r="V51" s="2">
        <f t="shared" si="14"/>
        <v>1476579.2275459461</v>
      </c>
      <c r="W51" s="2">
        <f>U51+V51+IF(Parameters_Public!$C$28=1, T51, 0)</f>
        <v>6378464.733225707</v>
      </c>
      <c r="X51" s="2">
        <f t="shared" si="15"/>
        <v>12751.828734957431</v>
      </c>
      <c r="Y51" s="2">
        <f>INDEX(YearMap!$I$2:$I$6, MATCH(C51, YearMap!$A$2:$A$6, 0))</f>
        <v>5533.4140207031242</v>
      </c>
      <c r="Z51" s="2">
        <f>W51 - ((Y51 + IF(Parameters_Public!$C$20=1, Parameters_Public!$C$19, 0))*AC51)</f>
        <v>3234525.6500700046</v>
      </c>
      <c r="AA51" s="2">
        <f t="shared" si="16"/>
        <v>6466.4647142543081</v>
      </c>
      <c r="AB51">
        <f>MAX(0, (MAX(0, $D51-BaselineCalc!$B$7) + MAX(0, $E51-BaselineCalc!$B$8)))</f>
        <v>50</v>
      </c>
      <c r="AC51" s="11">
        <f t="shared" si="17"/>
        <v>500.2</v>
      </c>
      <c r="AD51" s="2">
        <f>( (Y51 + IF(Parameters_Public!$C20=1, INDEX(YearMap!$O$2:$O$6, MATCH(C51, YearMap!$A$2:$A$6, 0)), 0)) * AC51 ) + AC51*INDEX(YearMap!$P$2:$P$6, MATCH(C51, YearMap!$A$2:$A$6, 0)) + AB51*( INDEX(YearMap!$R$2:$R$6, MATCH(C51, YearMap!$A$2:$A$6, 0)) - INDEX(YearMap!$P$2:$P$6, MATCH(C51, YearMap!$A$2:$A$6, 0)) )</f>
        <v>6010998.5254259314</v>
      </c>
      <c r="AE51" s="2">
        <f>(W51 - (1-Parameters_Public!$C$43)*$G51*$AB51*$J51*(1-$K51)) + AB51*INDEX(YearMap!$Q$2:$Q$6, MATCH(C51, YearMap!$A$2:$A$6, 0))</f>
        <v>6197248.5214289334</v>
      </c>
      <c r="AF51" s="2">
        <f t="shared" si="18"/>
        <v>-186249.99600300193</v>
      </c>
      <c r="AG51" t="str">
        <f t="shared" si="19"/>
        <v>D1_Repurpose_Echo_ops_PimaTargets|FY2030</v>
      </c>
    </row>
    <row r="52" spans="1:33" x14ac:dyDescent="0.35">
      <c r="A52" t="str">
        <f t="shared" si="10"/>
        <v>D2_Repurpose_Pima_lease_EchoGHub_EchoTargets|FY2026</v>
      </c>
      <c r="B52" t="str">
        <f>Scenarios!A13</f>
        <v>D2_Repurpose_Pima_lease_EchoGHub_EchoTargets</v>
      </c>
      <c r="C52" t="s">
        <v>187</v>
      </c>
      <c r="D52">
        <f>IF(Scenarios!D13=1,0, L52)</f>
        <v>274</v>
      </c>
      <c r="E52">
        <f>IF(Scenarios!E13=1,0, M52)</f>
        <v>0</v>
      </c>
      <c r="F52">
        <f t="shared" si="11"/>
        <v>274</v>
      </c>
      <c r="G52" s="2">
        <f>YearMap!B2</f>
        <v>8403.3633363471963</v>
      </c>
      <c r="H52" s="2">
        <f>YearMap!C2</f>
        <v>922499.99999999988</v>
      </c>
      <c r="I52" s="2">
        <f>YearMap!D2</f>
        <v>999374.99999999988</v>
      </c>
      <c r="J52">
        <f>1-BaselineCalc!$B$5</f>
        <v>0.99299999999999999</v>
      </c>
      <c r="K52">
        <f>Scenarios!G13</f>
        <v>0</v>
      </c>
      <c r="L52">
        <f>IF(Scenarios!$Q13=1,BaselineCalc!$B$7*(1+Parameters_Public!$C44)^(IF($C52="FY2026",0,IF($C52="FY2027",1,IF($C52="FY2028",2,IF($C52="FY2029",3,IF($C52="FY2030",4,0))))))+ROUND(Scenarios!I13*Scenarios!$F13,0),BaselineCalc!$B$7+ROUND(Scenarios!I13*Scenarios!$F13,0))</f>
        <v>274</v>
      </c>
      <c r="M52">
        <f>IF(Scenarios!$R13=1,BaselineCalc!$B$8*(1+Parameters_Public!$C45)^(IF($C52="FY2026",0,IF($C52="FY2027",1,IF($C52="FY2028",2,IF($C52="FY2029",3,IF($C52="FY2030",4,0))))))+Scenarios!I13-ROUND(Scenarios!I13*Scenarios!$F13,0),BaselineCalc!$B$8+Scenarios!I13-ROUND(Scenarios!I13*Scenarios!$F13,0))</f>
        <v>295.66666666666669</v>
      </c>
      <c r="N52" s="11">
        <f t="shared" si="12"/>
        <v>295.66666666666669</v>
      </c>
      <c r="O52" s="11">
        <f>(Parameters_Public!$C$23*(L52-D52)+Parameters_Public!$C$24*(M52-E52))</f>
        <v>251.31666666666666</v>
      </c>
      <c r="P52">
        <f>YearMap!E2</f>
        <v>1000</v>
      </c>
      <c r="Q52">
        <f>IF(Scenarios!N13="lease", YearMap!F2, YearMap!G2)</f>
        <v>0.2</v>
      </c>
      <c r="R52" s="2">
        <f>IF(Scenarios!D13=1, Q52*H52, H52)</f>
        <v>922499.99999999988</v>
      </c>
      <c r="S52" s="2">
        <f>IF(Scenarios!E13=1, Q52*I52, I52)</f>
        <v>199875</v>
      </c>
      <c r="T52" s="2">
        <f>IF(C52="FY2026", (Scenarios!D13+Scenarios!E13)*BaselineCalc!$B$22, 0)</f>
        <v>1000000</v>
      </c>
      <c r="U52" s="2">
        <f t="shared" si="13"/>
        <v>3400922.2782800179</v>
      </c>
      <c r="V52" s="2">
        <f t="shared" si="14"/>
        <v>2363221.9291463229</v>
      </c>
      <c r="W52" s="2">
        <f>U52+V52+IF(Parameters_Public!$C$28=1, T52, 0)</f>
        <v>5764144.2074263413</v>
      </c>
      <c r="X52" s="2">
        <f t="shared" si="15"/>
        <v>10972.703843573099</v>
      </c>
      <c r="Y52" s="2">
        <f>INDEX(YearMap!$I$2:$I$6, MATCH(C52, YearMap!$A$2:$A$6, 0))</f>
        <v>5013</v>
      </c>
      <c r="Z52" s="2">
        <f>W52 - ((Y52 + IF(Parameters_Public!$C$20=1, Parameters_Public!$C$19, 0))*AC52)</f>
        <v>2735719.8899263409</v>
      </c>
      <c r="AA52" s="2">
        <f t="shared" si="16"/>
        <v>5207.7538435730967</v>
      </c>
      <c r="AB52">
        <f>MAX(0, (MAX(0, $D52-BaselineCalc!$B$7) + MAX(0, $E52-BaselineCalc!$B$8)))</f>
        <v>17</v>
      </c>
      <c r="AC52" s="11">
        <f t="shared" si="17"/>
        <v>525.31666666666672</v>
      </c>
      <c r="AD52" s="2">
        <f>( (Y52 + IF(Parameters_Public!$C20=1, INDEX(YearMap!$O$2:$O$6, MATCH(C52, YearMap!$A$2:$A$6, 0)), 0)) * AC52 ) + AC52*INDEX(YearMap!$P$2:$P$6, MATCH(C52, YearMap!$A$2:$A$6, 0)) + AB52*( INDEX(YearMap!$R$2:$R$6, MATCH(C52, YearMap!$A$2:$A$6, 0)) - INDEX(YearMap!$P$2:$P$6, MATCH(C52, YearMap!$A$2:$A$6, 0)) )</f>
        <v>5746810.9841666669</v>
      </c>
      <c r="AE52" s="2">
        <f>(W52 - (1-Parameters_Public!$C$43)*$G52*$AB52*$J52*(1-$K52)) + AB52*INDEX(YearMap!$Q$2:$Q$6, MATCH(C52, YearMap!$A$2:$A$6, 0))</f>
        <v>5710801.3368339902</v>
      </c>
      <c r="AF52" s="2">
        <f t="shared" si="18"/>
        <v>36009.647332676686</v>
      </c>
      <c r="AG52" t="str">
        <f t="shared" si="19"/>
        <v>D2_Repurpose_Pima_lease_EchoGHub_EchoTargets|FY2026</v>
      </c>
    </row>
    <row r="53" spans="1:33" x14ac:dyDescent="0.35">
      <c r="A53" t="str">
        <f t="shared" si="10"/>
        <v>D2_Repurpose_Pima_lease_EchoGHub_EchoTargets|FY2027</v>
      </c>
      <c r="B53" t="str">
        <f>Scenarios!A13</f>
        <v>D2_Repurpose_Pima_lease_EchoGHub_EchoTargets</v>
      </c>
      <c r="C53" t="s">
        <v>188</v>
      </c>
      <c r="D53">
        <f>IF(Scenarios!D13=1,0, L53)</f>
        <v>290</v>
      </c>
      <c r="E53">
        <f>IF(Scenarios!E13=1,0, M53)</f>
        <v>0</v>
      </c>
      <c r="F53">
        <f t="shared" si="11"/>
        <v>290</v>
      </c>
      <c r="G53" s="2">
        <f>YearMap!B3</f>
        <v>8613.4474197558757</v>
      </c>
      <c r="H53" s="2">
        <f>YearMap!C3</f>
        <v>915497.14624773955</v>
      </c>
      <c r="I53" s="2">
        <f>YearMap!D3</f>
        <v>1054424.7287522603</v>
      </c>
      <c r="J53">
        <f>1-BaselineCalc!$B$5</f>
        <v>0.99299999999999999</v>
      </c>
      <c r="K53">
        <f>Scenarios!G13</f>
        <v>0</v>
      </c>
      <c r="L53">
        <f>IF(Scenarios!$Q13=1,BaselineCalc!$B$7*(1+Parameters_Public!$C44)^(IF($C53="FY2026",0,IF($C53="FY2027",1,IF($C53="FY2028",2,IF($C53="FY2029",3,IF($C53="FY2030",4,0))))))+ROUND(Scenarios!J13*Scenarios!$F13,0),BaselineCalc!$B$7+ROUND(Scenarios!J13*Scenarios!$F13,0))</f>
        <v>290</v>
      </c>
      <c r="M53">
        <f>IF(Scenarios!$R13=1,BaselineCalc!$B$8*(1+Parameters_Public!$C45)^(IF($C53="FY2026",0,IF($C53="FY2027",1,IF($C53="FY2028",2,IF($C53="FY2029",3,IF($C53="FY2030",4,0))))))+Scenarios!J13-ROUND(Scenarios!J13*Scenarios!$F13,0),BaselineCalc!$B$8+Scenarios!J13-ROUND(Scenarios!J13*Scenarios!$F13,0))</f>
        <v>296.33333333333331</v>
      </c>
      <c r="N53" s="11">
        <f t="shared" si="12"/>
        <v>296.33333333333331</v>
      </c>
      <c r="O53" s="11">
        <f>(Parameters_Public!$C$23*(L53-D53)+Parameters_Public!$C$24*(M53-E53))</f>
        <v>251.8833333333333</v>
      </c>
      <c r="P53">
        <f>YearMap!E3</f>
        <v>800</v>
      </c>
      <c r="Q53">
        <f>IF(Scenarios!N13="lease", YearMap!F3, YearMap!G3)</f>
        <v>0.2</v>
      </c>
      <c r="R53" s="2">
        <f>IF(Scenarios!D13=1, Q53*H53, H53)</f>
        <v>915497.14624773955</v>
      </c>
      <c r="S53" s="2">
        <f>IF(Scenarios!E13=1, Q53*I53, I53)</f>
        <v>210884.94575045208</v>
      </c>
      <c r="T53" s="2">
        <f>IF(C53="FY2026", (Scenarios!D13+Scenarios!E13)*BaselineCalc!$B$22, 0)</f>
        <v>0</v>
      </c>
      <c r="U53" s="2">
        <f t="shared" si="13"/>
        <v>3598911.8708213037</v>
      </c>
      <c r="V53" s="2">
        <f t="shared" si="14"/>
        <v>2371090.5142461755</v>
      </c>
      <c r="W53" s="2">
        <f>U53+V53+IF(Parameters_Public!$C$28=1, T53, 0)</f>
        <v>5970002.3850674797</v>
      </c>
      <c r="X53" s="2">
        <f t="shared" si="15"/>
        <v>11017.136010335827</v>
      </c>
      <c r="Y53" s="2">
        <f>INDEX(YearMap!$I$2:$I$6, MATCH(C53, YearMap!$A$2:$A$6, 0))</f>
        <v>5138.3249999999998</v>
      </c>
      <c r="Z53" s="2">
        <f>W53 - ((Y53 + IF(Parameters_Public!$C$20=1, Parameters_Public!$C$19, 0))*AC53)</f>
        <v>2778160.5338174808</v>
      </c>
      <c r="AA53" s="2">
        <f t="shared" si="16"/>
        <v>5126.8610103358315</v>
      </c>
      <c r="AB53">
        <f>MAX(0, (MAX(0, $D53-BaselineCalc!$B$7) + MAX(0, $E53-BaselineCalc!$B$8)))</f>
        <v>33</v>
      </c>
      <c r="AC53" s="11">
        <f t="shared" si="17"/>
        <v>541.88333333333321</v>
      </c>
      <c r="AD53" s="2">
        <f>( (Y53 + IF(Parameters_Public!$C20=1, INDEX(YearMap!$O$2:$O$6, MATCH(C53, YearMap!$A$2:$A$6, 0)), 0)) * AC53 ) + AC53*INDEX(YearMap!$P$2:$P$6, MATCH(C53, YearMap!$A$2:$A$6, 0)) + AB53*( INDEX(YearMap!$R$2:$R$6, MATCH(C53, YearMap!$A$2:$A$6, 0)) - INDEX(YearMap!$P$2:$P$6, MATCH(C53, YearMap!$A$2:$A$6, 0)) )</f>
        <v>6063883.2472291645</v>
      </c>
      <c r="AE53" s="2">
        <f>(W53 - (1-Parameters_Public!$C$43)*$G53*$AB53*$J53*(1-$K53)) + AB53*INDEX(YearMap!$Q$2:$Q$6, MATCH(C53, YearMap!$A$2:$A$6, 0))</f>
        <v>5862380.7616682872</v>
      </c>
      <c r="AF53" s="2">
        <f t="shared" si="18"/>
        <v>201502.48556087725</v>
      </c>
      <c r="AG53" t="str">
        <f t="shared" si="19"/>
        <v>D2_Repurpose_Pima_lease_EchoGHub_EchoTargets|FY2027</v>
      </c>
    </row>
    <row r="54" spans="1:33" x14ac:dyDescent="0.35">
      <c r="A54" t="str">
        <f t="shared" si="10"/>
        <v>D2_Repurpose_Pima_lease_EchoGHub_EchoTargets|FY2028</v>
      </c>
      <c r="B54" t="str">
        <f>Scenarios!A13</f>
        <v>D2_Repurpose_Pima_lease_EchoGHub_EchoTargets</v>
      </c>
      <c r="C54" t="s">
        <v>189</v>
      </c>
      <c r="D54">
        <f>IF(Scenarios!D13=1,0, L54)</f>
        <v>307</v>
      </c>
      <c r="E54">
        <f>IF(Scenarios!E13=1,0, M54)</f>
        <v>0</v>
      </c>
      <c r="F54">
        <f t="shared" si="11"/>
        <v>307</v>
      </c>
      <c r="G54" s="2">
        <f>YearMap!B4</f>
        <v>8828.7836052497714</v>
      </c>
      <c r="H54" s="2">
        <f>YearMap!C4</f>
        <v>938384.57490393298</v>
      </c>
      <c r="I54" s="2">
        <f>YearMap!D4</f>
        <v>1080785.3469710669</v>
      </c>
      <c r="J54">
        <f>1-BaselineCalc!$B$5</f>
        <v>0.99299999999999999</v>
      </c>
      <c r="K54">
        <f>Scenarios!G13</f>
        <v>0</v>
      </c>
      <c r="L54">
        <f>IF(Scenarios!$Q13=1,BaselineCalc!$B$7*(1+Parameters_Public!$C44)^(IF($C54="FY2026",0,IF($C54="FY2027",1,IF($C54="FY2028",2,IF($C54="FY2029",3,IF($C54="FY2030",4,0))))))+ROUND(Scenarios!K13*Scenarios!$F13,0),BaselineCalc!$B$7+ROUND(Scenarios!K13*Scenarios!$F13,0))</f>
        <v>307</v>
      </c>
      <c r="M54">
        <f>IF(Scenarios!$R13=1,BaselineCalc!$B$8*(1+Parameters_Public!$C45)^(IF($C54="FY2026",0,IF($C54="FY2027",1,IF($C54="FY2028",2,IF($C54="FY2029",3,IF($C54="FY2030",4,0))))))+Scenarios!K13-ROUND(Scenarios!K13*Scenarios!$F13,0),BaselineCalc!$B$8+Scenarios!K13-ROUND(Scenarios!K13*Scenarios!$F13,0))</f>
        <v>296</v>
      </c>
      <c r="N54" s="11">
        <f t="shared" si="12"/>
        <v>296</v>
      </c>
      <c r="O54" s="11">
        <f>(Parameters_Public!$C$23*(L54-D54)+Parameters_Public!$C$24*(M54-E54))</f>
        <v>251.6</v>
      </c>
      <c r="P54">
        <f>YearMap!E4</f>
        <v>600</v>
      </c>
      <c r="Q54">
        <f>IF(Scenarios!N13="lease", YearMap!F4, YearMap!G4)</f>
        <v>0.15</v>
      </c>
      <c r="R54" s="2">
        <f>IF(Scenarios!D13=1, Q54*H54, H54)</f>
        <v>938384.57490393298</v>
      </c>
      <c r="S54" s="2">
        <f>IF(Scenarios!E13=1, Q54*I54, I54)</f>
        <v>162117.80204566004</v>
      </c>
      <c r="T54" s="2">
        <f>IF(C54="FY2026", (Scenarios!D13+Scenarios!E13)*BaselineCalc!$B$22, 0)</f>
        <v>0</v>
      </c>
      <c r="U54" s="2">
        <f t="shared" si="13"/>
        <v>3784262.3711549439</v>
      </c>
      <c r="V54" s="2">
        <f t="shared" si="14"/>
        <v>2372281.9550808426</v>
      </c>
      <c r="W54" s="2">
        <f>U54+V54+IF(Parameters_Public!$C$28=1, T54, 0)</f>
        <v>6156544.3262357861</v>
      </c>
      <c r="X54" s="2">
        <f t="shared" si="15"/>
        <v>11021.382610518771</v>
      </c>
      <c r="Y54" s="2">
        <f>INDEX(YearMap!$I$2:$I$6, MATCH(C54, YearMap!$A$2:$A$6, 0))</f>
        <v>5266.7831249999999</v>
      </c>
      <c r="Z54" s="2">
        <f>W54 - ((Y54 + IF(Parameters_Public!$C$20=1, Parameters_Public!$C$19, 0))*AC54)</f>
        <v>2794480.0026107859</v>
      </c>
      <c r="AA54" s="2">
        <f t="shared" si="16"/>
        <v>5002.6494855187711</v>
      </c>
      <c r="AB54">
        <f>MAX(0, (MAX(0, $D54-BaselineCalc!$B$7) + MAX(0, $E54-BaselineCalc!$B$8)))</f>
        <v>50</v>
      </c>
      <c r="AC54" s="11">
        <f t="shared" si="17"/>
        <v>558.6</v>
      </c>
      <c r="AD54" s="2">
        <f>( (Y54 + IF(Parameters_Public!$C20=1, INDEX(YearMap!$O$2:$O$6, MATCH(C54, YearMap!$A$2:$A$6, 0)), 0)) * AC54 ) + AC54*INDEX(YearMap!$P$2:$P$6, MATCH(C54, YearMap!$A$2:$A$6, 0)) + AB54*( INDEX(YearMap!$R$2:$R$6, MATCH(C54, YearMap!$A$2:$A$6, 0)) - INDEX(YearMap!$P$2:$P$6, MATCH(C54, YearMap!$A$2:$A$6, 0)) )</f>
        <v>6394125.886668751</v>
      </c>
      <c r="AE54" s="2">
        <f>(W54 - (1-Parameters_Public!$C$43)*$G54*$AB54*$J54*(1-$K54)) + AB54*INDEX(YearMap!$Q$2:$Q$6, MATCH(C54, YearMap!$A$2:$A$6, 0))</f>
        <v>5987204.683835526</v>
      </c>
      <c r="AF54" s="2">
        <f t="shared" si="18"/>
        <v>406921.20283322502</v>
      </c>
      <c r="AG54" t="str">
        <f t="shared" si="19"/>
        <v>D2_Repurpose_Pima_lease_EchoGHub_EchoTargets|FY2028</v>
      </c>
    </row>
    <row r="55" spans="1:33" x14ac:dyDescent="0.35">
      <c r="A55" t="str">
        <f t="shared" si="10"/>
        <v>D2_Repurpose_Pima_lease_EchoGHub_EchoTargets|FY2029</v>
      </c>
      <c r="B55" t="str">
        <f>Scenarios!A13</f>
        <v>D2_Repurpose_Pima_lease_EchoGHub_EchoTargets</v>
      </c>
      <c r="C55" t="s">
        <v>190</v>
      </c>
      <c r="D55">
        <f>IF(Scenarios!D13=1,0, L55)</f>
        <v>307</v>
      </c>
      <c r="E55">
        <f>IF(Scenarios!E13=1,0, M55)</f>
        <v>0</v>
      </c>
      <c r="F55">
        <f t="shared" si="11"/>
        <v>307</v>
      </c>
      <c r="G55" s="2">
        <f>YearMap!B5</f>
        <v>9049.5031953810158</v>
      </c>
      <c r="H55" s="2">
        <f>YearMap!C5</f>
        <v>961844.18927653122</v>
      </c>
      <c r="I55" s="2">
        <f>YearMap!D5</f>
        <v>1107804.9806453434</v>
      </c>
      <c r="J55">
        <f>1-BaselineCalc!$B$5</f>
        <v>0.99299999999999999</v>
      </c>
      <c r="K55">
        <f>Scenarios!G13</f>
        <v>0</v>
      </c>
      <c r="L55">
        <f>IF(Scenarios!$Q13=1,BaselineCalc!$B$7*(1+Parameters_Public!$C44)^(IF($C55="FY2026",0,IF($C55="FY2027",1,IF($C55="FY2028",2,IF($C55="FY2029",3,IF($C55="FY2030",4,0))))))+ROUND(Scenarios!L13*Scenarios!$F13,0),BaselineCalc!$B$7+ROUND(Scenarios!L13*Scenarios!$F13,0))</f>
        <v>307</v>
      </c>
      <c r="M55">
        <f>IF(Scenarios!$R13=1,BaselineCalc!$B$8*(1+Parameters_Public!$C45)^(IF($C55="FY2026",0,IF($C55="FY2027",1,IF($C55="FY2028",2,IF($C55="FY2029",3,IF($C55="FY2030",4,0))))))+Scenarios!L13-ROUND(Scenarios!L13*Scenarios!$F13,0),BaselineCalc!$B$8+Scenarios!L13-ROUND(Scenarios!L13*Scenarios!$F13,0))</f>
        <v>296</v>
      </c>
      <c r="N55" s="11">
        <f t="shared" si="12"/>
        <v>296</v>
      </c>
      <c r="O55" s="11">
        <f>(Parameters_Public!$C$23*(L55-D55)+Parameters_Public!$C$24*(M55-E55))</f>
        <v>251.6</v>
      </c>
      <c r="P55">
        <f>YearMap!E5</f>
        <v>500</v>
      </c>
      <c r="Q55">
        <f>IF(Scenarios!N13="lease", YearMap!F5, YearMap!G5)</f>
        <v>0.1</v>
      </c>
      <c r="R55" s="2">
        <f>IF(Scenarios!D13=1, Q55*H55, H55)</f>
        <v>961844.18927653122</v>
      </c>
      <c r="S55" s="2">
        <f>IF(Scenarios!E13=1, Q55*I55, I55)</f>
        <v>110780.49806453435</v>
      </c>
      <c r="T55" s="2">
        <f>IF(C55="FY2026", (Scenarios!D13+Scenarios!E13)*BaselineCalc!$B$22, 0)</f>
        <v>0</v>
      </c>
      <c r="U55" s="2">
        <f t="shared" si="13"/>
        <v>3823866.4131447766</v>
      </c>
      <c r="V55" s="2">
        <f t="shared" si="14"/>
        <v>2402655.0039578634</v>
      </c>
      <c r="W55" s="2">
        <f>U55+V55+IF(Parameters_Public!$C$28=1, T55, 0)</f>
        <v>6226521.4171026405</v>
      </c>
      <c r="X55" s="2">
        <f t="shared" si="15"/>
        <v>11146.654882031222</v>
      </c>
      <c r="Y55" s="2">
        <f>INDEX(YearMap!$I$2:$I$6, MATCH(C55, YearMap!$A$2:$A$6, 0))</f>
        <v>5398.4527031249991</v>
      </c>
      <c r="Z55" s="2">
        <f>W55 - ((Y55 + IF(Parameters_Public!$C$20=1, Parameters_Public!$C$19, 0))*AC55)</f>
        <v>2790906.4671370159</v>
      </c>
      <c r="AA55" s="2">
        <f t="shared" si="16"/>
        <v>4996.2521789062221</v>
      </c>
      <c r="AB55">
        <f>MAX(0, (MAX(0, $D55-BaselineCalc!$B$7) + MAX(0, $E55-BaselineCalc!$B$8)))</f>
        <v>50</v>
      </c>
      <c r="AC55" s="11">
        <f t="shared" si="17"/>
        <v>558.6</v>
      </c>
      <c r="AD55" s="2">
        <f>( (Y55 + IF(Parameters_Public!$C20=1, INDEX(YearMap!$O$2:$O$6, MATCH(C55, YearMap!$A$2:$A$6, 0)), 0)) * AC55 ) + AC55*INDEX(YearMap!$P$2:$P$6, MATCH(C55, YearMap!$A$2:$A$6, 0)) + AB55*( INDEX(YearMap!$R$2:$R$6, MATCH(C55, YearMap!$A$2:$A$6, 0)) - INDEX(YearMap!$P$2:$P$6, MATCH(C55, YearMap!$A$2:$A$6, 0)) )</f>
        <v>6553979.0338354679</v>
      </c>
      <c r="AE55" s="2">
        <f>(W55 - (1-Parameters_Public!$C$43)*$G55*$AB55*$J55*(1-$K55)) + AB55*INDEX(YearMap!$Q$2:$Q$6, MATCH(C55, YearMap!$A$2:$A$6, 0))</f>
        <v>6051798.283642374</v>
      </c>
      <c r="AF55" s="2">
        <f t="shared" si="18"/>
        <v>502180.7501930939</v>
      </c>
      <c r="AG55" t="str">
        <f t="shared" si="19"/>
        <v>D2_Repurpose_Pima_lease_EchoGHub_EchoTargets|FY2029</v>
      </c>
    </row>
    <row r="56" spans="1:33" x14ac:dyDescent="0.35">
      <c r="A56" t="str">
        <f t="shared" si="10"/>
        <v>D2_Repurpose_Pima_lease_EchoGHub_EchoTargets|FY2030</v>
      </c>
      <c r="B56" t="str">
        <f>Scenarios!A13</f>
        <v>D2_Repurpose_Pima_lease_EchoGHub_EchoTargets</v>
      </c>
      <c r="C56" t="s">
        <v>102</v>
      </c>
      <c r="D56">
        <f>IF(Scenarios!D13=1,0, L56)</f>
        <v>307</v>
      </c>
      <c r="E56">
        <f>IF(Scenarios!E13=1,0, M56)</f>
        <v>0</v>
      </c>
      <c r="F56">
        <f t="shared" si="11"/>
        <v>307</v>
      </c>
      <c r="G56" s="2">
        <f>YearMap!B6</f>
        <v>9275.7407752655399</v>
      </c>
      <c r="H56" s="2">
        <f>YearMap!C6</f>
        <v>985890.29400844453</v>
      </c>
      <c r="I56" s="2">
        <f>YearMap!D6</f>
        <v>1135500.1051614769</v>
      </c>
      <c r="J56">
        <f>1-BaselineCalc!$B$5</f>
        <v>0.99299999999999999</v>
      </c>
      <c r="K56">
        <f>Scenarios!G13</f>
        <v>0</v>
      </c>
      <c r="L56">
        <f>IF(Scenarios!$Q13=1,BaselineCalc!$B$7*(1+Parameters_Public!$C44)^(IF($C56="FY2026",0,IF($C56="FY2027",1,IF($C56="FY2028",2,IF($C56="FY2029",3,IF($C56="FY2030",4,0))))))+ROUND(Scenarios!M13*Scenarios!$F13,0),BaselineCalc!$B$7+ROUND(Scenarios!M13*Scenarios!$F13,0))</f>
        <v>307</v>
      </c>
      <c r="M56">
        <f>IF(Scenarios!$R13=1,BaselineCalc!$B$8*(1+Parameters_Public!$C45)^(IF($C56="FY2026",0,IF($C56="FY2027",1,IF($C56="FY2028",2,IF($C56="FY2029",3,IF($C56="FY2030",4,0))))))+Scenarios!M13-ROUND(Scenarios!M13*Scenarios!$F13,0),BaselineCalc!$B$8+Scenarios!M13-ROUND(Scenarios!M13*Scenarios!$F13,0))</f>
        <v>296</v>
      </c>
      <c r="N56" s="11">
        <f t="shared" si="12"/>
        <v>296</v>
      </c>
      <c r="O56" s="11">
        <f>(Parameters_Public!$C$23*(L56-D56)+Parameters_Public!$C$24*(M56-E56))</f>
        <v>251.6</v>
      </c>
      <c r="P56">
        <f>YearMap!E6</f>
        <v>300</v>
      </c>
      <c r="Q56">
        <f>IF(Scenarios!N13="lease", YearMap!F6, YearMap!G6)</f>
        <v>0.1</v>
      </c>
      <c r="R56" s="2">
        <f>IF(Scenarios!D13=1, Q56*H56, H56)</f>
        <v>985890.29400844453</v>
      </c>
      <c r="S56" s="2">
        <f>IF(Scenarios!E13=1, Q56*I56, I56)</f>
        <v>113550.0105161477</v>
      </c>
      <c r="T56" s="2">
        <f>IF(C56="FY2026", (Scenarios!D13+Scenarios!E13)*BaselineCalc!$B$22, 0)</f>
        <v>0</v>
      </c>
      <c r="U56" s="2">
        <f t="shared" si="13"/>
        <v>3919463.0734733948</v>
      </c>
      <c r="V56" s="2">
        <f t="shared" si="14"/>
        <v>2409256.3790568099</v>
      </c>
      <c r="W56" s="2">
        <f>U56+V56+IF(Parameters_Public!$C$28=1, T56, 0)</f>
        <v>6328719.4525302052</v>
      </c>
      <c r="X56" s="2">
        <f t="shared" si="15"/>
        <v>11329.608758557473</v>
      </c>
      <c r="Y56" s="2">
        <f>INDEX(YearMap!$I$2:$I$6, MATCH(C56, YearMap!$A$2:$A$6, 0))</f>
        <v>5533.4140207031242</v>
      </c>
      <c r="Z56" s="2">
        <f>W56 - ((Y56 + IF(Parameters_Public!$C$20=1, Parameters_Public!$C$19, 0))*AC56)</f>
        <v>2817715.1105654403</v>
      </c>
      <c r="AA56" s="2">
        <f t="shared" si="16"/>
        <v>5044.2447378543502</v>
      </c>
      <c r="AB56">
        <f>MAX(0, (MAX(0, $D56-BaselineCalc!$B$7) + MAX(0, $E56-BaselineCalc!$B$8)))</f>
        <v>50</v>
      </c>
      <c r="AC56" s="11">
        <f t="shared" si="17"/>
        <v>558.6</v>
      </c>
      <c r="AD56" s="2">
        <f>( (Y56 + IF(Parameters_Public!$C20=1, INDEX(YearMap!$O$2:$O$6, MATCH(C56, YearMap!$A$2:$A$6, 0)), 0)) * AC56 ) + AC56*INDEX(YearMap!$P$2:$P$6, MATCH(C56, YearMap!$A$2:$A$6, 0)) + AB56*( INDEX(YearMap!$R$2:$R$6, MATCH(C56, YearMap!$A$2:$A$6, 0)) - INDEX(YearMap!$P$2:$P$6, MATCH(C56, YearMap!$A$2:$A$6, 0)) )</f>
        <v>6717828.5096813543</v>
      </c>
      <c r="AE56" s="2">
        <f>(W56 - (1-Parameters_Public!$C$43)*$G56*$AB56*$J56*(1-$K56)) + AB56*INDEX(YearMap!$Q$2:$Q$6, MATCH(C56, YearMap!$A$2:$A$6, 0))</f>
        <v>6147503.2407334317</v>
      </c>
      <c r="AF56" s="2">
        <f t="shared" si="18"/>
        <v>570325.26894792262</v>
      </c>
      <c r="AG56" t="str">
        <f t="shared" si="19"/>
        <v>D2_Repurpose_Pima_lease_EchoGHub_EchoTargets|FY2030</v>
      </c>
    </row>
    <row r="57" spans="1:33" x14ac:dyDescent="0.35">
      <c r="A57" t="str">
        <f t="shared" si="10"/>
        <v>D1_Repurpose_Pima_ops_EchoGHub_EchoTargets|FY2026</v>
      </c>
      <c r="B57" t="str">
        <f>Scenarios!A14</f>
        <v>D1_Repurpose_Pima_ops_EchoGHub_EchoTargets</v>
      </c>
      <c r="C57" t="s">
        <v>187</v>
      </c>
      <c r="D57">
        <f>IF(Scenarios!D14=1,0, L57)</f>
        <v>274</v>
      </c>
      <c r="E57">
        <f>IF(Scenarios!E14=1,0, M57)</f>
        <v>0</v>
      </c>
      <c r="F57">
        <f t="shared" si="11"/>
        <v>274</v>
      </c>
      <c r="G57" s="2">
        <f>YearMap!B2</f>
        <v>8403.3633363471963</v>
      </c>
      <c r="H57" s="2">
        <f>YearMap!C2</f>
        <v>922499.99999999988</v>
      </c>
      <c r="I57" s="2">
        <f>YearMap!D2</f>
        <v>999374.99999999988</v>
      </c>
      <c r="J57">
        <f>1-BaselineCalc!$B$5</f>
        <v>0.99299999999999999</v>
      </c>
      <c r="K57">
        <f>Scenarios!G14</f>
        <v>0</v>
      </c>
      <c r="L57">
        <f>IF(Scenarios!$Q14=1,BaselineCalc!$B$7*(1+Parameters_Public!$C44)^(IF($C57="FY2026",0,IF($C57="FY2027",1,IF($C57="FY2028",2,IF($C57="FY2029",3,IF($C57="FY2030",4,0))))))+ROUND(Scenarios!I14*Scenarios!$F14,0),BaselineCalc!$B$7+ROUND(Scenarios!I14*Scenarios!$F14,0))</f>
        <v>274</v>
      </c>
      <c r="M57">
        <f>IF(Scenarios!$R14=1,BaselineCalc!$B$8*(1+Parameters_Public!$C45)^(IF($C57="FY2026",0,IF($C57="FY2027",1,IF($C57="FY2028",2,IF($C57="FY2029",3,IF($C57="FY2030",4,0))))))+Scenarios!I14-ROUND(Scenarios!I14*Scenarios!$F14,0),BaselineCalc!$B$8+Scenarios!I14-ROUND(Scenarios!I14*Scenarios!$F14,0))</f>
        <v>295.66666666666669</v>
      </c>
      <c r="N57" s="11">
        <f t="shared" si="12"/>
        <v>295.66666666666669</v>
      </c>
      <c r="O57" s="11">
        <f>(Parameters_Public!$C$23*(L57-D57)+Parameters_Public!$C$24*(M57-E57))</f>
        <v>251.31666666666666</v>
      </c>
      <c r="P57">
        <f>YearMap!E2</f>
        <v>1000</v>
      </c>
      <c r="Q57">
        <f>IF(Scenarios!N14="lease", YearMap!F2, YearMap!G2)</f>
        <v>0.75</v>
      </c>
      <c r="R57" s="2">
        <f>IF(Scenarios!D14=1, Q57*H57, H57)</f>
        <v>922499.99999999988</v>
      </c>
      <c r="S57" s="2">
        <f>IF(Scenarios!E14=1, Q57*I57, I57)</f>
        <v>749531.24999999988</v>
      </c>
      <c r="T57" s="2">
        <f>IF(C57="FY2026", (Scenarios!D14+Scenarios!E14)*BaselineCalc!$B$22, 0)</f>
        <v>1000000</v>
      </c>
      <c r="U57" s="2">
        <f t="shared" si="13"/>
        <v>3946730.9345300179</v>
      </c>
      <c r="V57" s="2">
        <f t="shared" si="14"/>
        <v>2363221.9291463229</v>
      </c>
      <c r="W57" s="2">
        <f>U57+V57+IF(Parameters_Public!$C$28=1, T57, 0)</f>
        <v>6309952.8636763413</v>
      </c>
      <c r="X57" s="2">
        <f t="shared" si="15"/>
        <v>12011.712675547464</v>
      </c>
      <c r="Y57" s="2">
        <f>INDEX(YearMap!$I$2:$I$6, MATCH(C57, YearMap!$A$2:$A$6, 0))</f>
        <v>5013</v>
      </c>
      <c r="Z57" s="2">
        <f>W57 - ((Y57 + IF(Parameters_Public!$C$20=1, Parameters_Public!$C$19, 0))*AC57)</f>
        <v>3281528.5461763409</v>
      </c>
      <c r="AA57" s="2">
        <f t="shared" si="16"/>
        <v>6246.7626755474612</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(1-Parameters_Public!$C$43)*$G57*$AB57*$J57*(1-$K57)) + AB57*INDEX(YearMap!$Q$2:$Q$6, MATCH(C57, YearMap!$A$2:$A$6, 0))</f>
        <v>6256609.9930839902</v>
      </c>
      <c r="AF57" s="2">
        <f t="shared" si="18"/>
        <v>-509799.00891732331</v>
      </c>
      <c r="AG57" t="str">
        <f t="shared" si="19"/>
        <v>D1_Repurpose_Pima_ops_EchoGHub_EchoTargets|FY2026</v>
      </c>
    </row>
    <row r="58" spans="1:33" x14ac:dyDescent="0.35">
      <c r="A58" t="str">
        <f t="shared" si="10"/>
        <v>D1_Repurpose_Pima_ops_EchoGHub_EchoTargets|FY2027</v>
      </c>
      <c r="B58" t="str">
        <f>Scenarios!A14</f>
        <v>D1_Repurpose_Pima_ops_EchoGHub_EchoTargets</v>
      </c>
      <c r="C58" t="s">
        <v>188</v>
      </c>
      <c r="D58">
        <f>IF(Scenarios!D14=1,0, L58)</f>
        <v>290</v>
      </c>
      <c r="E58">
        <f>IF(Scenarios!E14=1,0, M58)</f>
        <v>0</v>
      </c>
      <c r="F58">
        <f t="shared" si="11"/>
        <v>290</v>
      </c>
      <c r="G58" s="2">
        <f>YearMap!B3</f>
        <v>8613.4474197558757</v>
      </c>
      <c r="H58" s="2">
        <f>YearMap!C3</f>
        <v>915497.14624773955</v>
      </c>
      <c r="I58" s="2">
        <f>YearMap!D3</f>
        <v>1054424.7287522603</v>
      </c>
      <c r="J58">
        <f>1-BaselineCalc!$B$5</f>
        <v>0.99299999999999999</v>
      </c>
      <c r="K58">
        <f>Scenarios!G14</f>
        <v>0</v>
      </c>
      <c r="L58">
        <f>IF(Scenarios!$Q14=1,BaselineCalc!$B$7*(1+Parameters_Public!$C44)^(IF($C58="FY2026",0,IF($C58="FY2027",1,IF($C58="FY2028",2,IF($C58="FY2029",3,IF($C58="FY2030",4,0))))))+ROUND(Scenarios!J14*Scenarios!$F14,0),BaselineCalc!$B$7+ROUND(Scenarios!J14*Scenarios!$F14,0))</f>
        <v>290</v>
      </c>
      <c r="M58">
        <f>IF(Scenarios!$R14=1,BaselineCalc!$B$8*(1+Parameters_Public!$C45)^(IF($C58="FY2026",0,IF($C58="FY2027",1,IF($C58="FY2028",2,IF($C58="FY2029",3,IF($C58="FY2030",4,0))))))+Scenarios!J14-ROUND(Scenarios!J14*Scenarios!$F14,0),BaselineCalc!$B$8+Scenarios!J14-ROUND(Scenarios!J14*Scenarios!$F14,0))</f>
        <v>296.33333333333331</v>
      </c>
      <c r="N58" s="11">
        <f t="shared" si="12"/>
        <v>296.33333333333331</v>
      </c>
      <c r="O58" s="11">
        <f>(Parameters_Public!$C$23*(L58-D58)+Parameters_Public!$C$24*(M58-E58))</f>
        <v>251.8833333333333</v>
      </c>
      <c r="P58">
        <f>YearMap!E3</f>
        <v>800</v>
      </c>
      <c r="Q58">
        <f>IF(Scenarios!N14="lease", YearMap!F3, YearMap!G3)</f>
        <v>0.7</v>
      </c>
      <c r="R58" s="2">
        <f>IF(Scenarios!D14=1, Q58*H58, H58)</f>
        <v>915497.14624773955</v>
      </c>
      <c r="S58" s="2">
        <f>IF(Scenarios!E14=1, Q58*I58, I58)</f>
        <v>738097.31012658216</v>
      </c>
      <c r="T58" s="2">
        <f>IF(C58="FY2026", (Scenarios!D14+Scenarios!E14)*BaselineCalc!$B$22, 0)</f>
        <v>0</v>
      </c>
      <c r="U58" s="2">
        <f t="shared" si="13"/>
        <v>4122433.7486468009</v>
      </c>
      <c r="V58" s="2">
        <f t="shared" si="14"/>
        <v>2371090.5142461755</v>
      </c>
      <c r="W58" s="2">
        <f>U58+V58+IF(Parameters_Public!$C$28=1, T58, 0)</f>
        <v>6493524.2628929764</v>
      </c>
      <c r="X58" s="2">
        <f t="shared" si="15"/>
        <v>11983.251492436213</v>
      </c>
      <c r="Y58" s="2">
        <f>INDEX(YearMap!$I$2:$I$6, MATCH(C58, YearMap!$A$2:$A$6, 0))</f>
        <v>5138.3249999999998</v>
      </c>
      <c r="Z58" s="2">
        <f>W58 - ((Y58 + IF(Parameters_Public!$C$20=1, Parameters_Public!$C$19, 0))*AC58)</f>
        <v>3301682.4116429775</v>
      </c>
      <c r="AA58" s="2">
        <f t="shared" si="16"/>
        <v>6092.9764924362162</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(1-Parameters_Public!$C$43)*$G58*$AB58*$J58*(1-$K58)) + AB58*INDEX(YearMap!$Q$2:$Q$6, MATCH(C58, YearMap!$A$2:$A$6, 0))</f>
        <v>6385902.6394937839</v>
      </c>
      <c r="AF58" s="2">
        <f t="shared" si="18"/>
        <v>-322019.39226461947</v>
      </c>
      <c r="AG58" t="str">
        <f t="shared" si="19"/>
        <v>D1_Repurpose_Pima_ops_EchoGHub_EchoTargets|FY2027</v>
      </c>
    </row>
    <row r="59" spans="1:33" x14ac:dyDescent="0.35">
      <c r="A59" t="str">
        <f t="shared" si="10"/>
        <v>D1_Repurpose_Pima_ops_EchoGHub_EchoTargets|FY2028</v>
      </c>
      <c r="B59" t="str">
        <f>Scenarios!A14</f>
        <v>D1_Repurpose_Pima_ops_EchoGHub_EchoTargets</v>
      </c>
      <c r="C59" t="s">
        <v>189</v>
      </c>
      <c r="D59">
        <f>IF(Scenarios!D14=1,0, L59)</f>
        <v>307</v>
      </c>
      <c r="E59">
        <f>IF(Scenarios!E14=1,0, M59)</f>
        <v>0</v>
      </c>
      <c r="F59">
        <f t="shared" si="11"/>
        <v>307</v>
      </c>
      <c r="G59" s="2">
        <f>YearMap!B4</f>
        <v>8828.7836052497714</v>
      </c>
      <c r="H59" s="2">
        <f>YearMap!C4</f>
        <v>938384.57490393298</v>
      </c>
      <c r="I59" s="2">
        <f>YearMap!D4</f>
        <v>1080785.3469710669</v>
      </c>
      <c r="J59">
        <f>1-BaselineCalc!$B$5</f>
        <v>0.99299999999999999</v>
      </c>
      <c r="K59">
        <f>Scenarios!G14</f>
        <v>0</v>
      </c>
      <c r="L59">
        <f>IF(Scenarios!$Q14=1,BaselineCalc!$B$7*(1+Parameters_Public!$C44)^(IF($C59="FY2026",0,IF($C59="FY2027",1,IF($C59="FY2028",2,IF($C59="FY2029",3,IF($C59="FY2030",4,0))))))+ROUND(Scenarios!K14*Scenarios!$F14,0),BaselineCalc!$B$7+ROUND(Scenarios!K14*Scenarios!$F14,0))</f>
        <v>307</v>
      </c>
      <c r="M59">
        <f>IF(Scenarios!$R14=1,BaselineCalc!$B$8*(1+Parameters_Public!$C45)^(IF($C59="FY2026",0,IF($C59="FY2027",1,IF($C59="FY2028",2,IF($C59="FY2029",3,IF($C59="FY2030",4,0))))))+Scenarios!K14-ROUND(Scenarios!K14*Scenarios!$F14,0),BaselineCalc!$B$8+Scenarios!K14-ROUND(Scenarios!K14*Scenarios!$F14,0))</f>
        <v>296</v>
      </c>
      <c r="N59" s="11">
        <f t="shared" si="12"/>
        <v>296</v>
      </c>
      <c r="O59" s="11">
        <f>(Parameters_Public!$C$23*(L59-D59)+Parameters_Public!$C$24*(M59-E59))</f>
        <v>251.6</v>
      </c>
      <c r="P59">
        <f>YearMap!E4</f>
        <v>600</v>
      </c>
      <c r="Q59">
        <f>IF(Scenarios!N14="lease", YearMap!F4, YearMap!G4)</f>
        <v>0.65</v>
      </c>
      <c r="R59" s="2">
        <f>IF(Scenarios!D14=1, Q59*H59, H59)</f>
        <v>938384.57490393298</v>
      </c>
      <c r="S59" s="2">
        <f>IF(Scenarios!E14=1, Q59*I59, I59)</f>
        <v>702510.47553119354</v>
      </c>
      <c r="T59" s="2">
        <f>IF(C59="FY2026", (Scenarios!D14+Scenarios!E14)*BaselineCalc!$B$22, 0)</f>
        <v>0</v>
      </c>
      <c r="U59" s="2">
        <f t="shared" si="13"/>
        <v>4320872.2959260792</v>
      </c>
      <c r="V59" s="2">
        <f t="shared" si="14"/>
        <v>2372281.9550808426</v>
      </c>
      <c r="W59" s="2">
        <f>U59+V59+IF(Parameters_Public!$C$28=1, T59, 0)</f>
        <v>6693154.2510069218</v>
      </c>
      <c r="X59" s="2">
        <f t="shared" si="15"/>
        <v>11982.01620301991</v>
      </c>
      <c r="Y59" s="2">
        <f>INDEX(YearMap!$I$2:$I$6, MATCH(C59, YearMap!$A$2:$A$6, 0))</f>
        <v>5266.7831249999999</v>
      </c>
      <c r="Z59" s="2">
        <f>W59 - ((Y59 + IF(Parameters_Public!$C$20=1, Parameters_Public!$C$19, 0))*AC59)</f>
        <v>3331089.9273819216</v>
      </c>
      <c r="AA59" s="2">
        <f t="shared" si="16"/>
        <v>5963.2830780199092</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(1-Parameters_Public!$C$43)*$G59*$AB59*$J59*(1-$K59)) + AB59*INDEX(YearMap!$Q$2:$Q$6, MATCH(C59, YearMap!$A$2:$A$6, 0))</f>
        <v>6523814.6086066617</v>
      </c>
      <c r="AF59" s="2">
        <f t="shared" si="18"/>
        <v>-129688.72193791065</v>
      </c>
      <c r="AG59" t="str">
        <f t="shared" si="19"/>
        <v>D1_Repurpose_Pima_ops_EchoGHub_EchoTargets|FY2028</v>
      </c>
    </row>
    <row r="60" spans="1:33" x14ac:dyDescent="0.35">
      <c r="A60" t="str">
        <f t="shared" si="10"/>
        <v>D1_Repurpose_Pima_ops_EchoGHub_EchoTargets|FY2029</v>
      </c>
      <c r="B60" t="str">
        <f>Scenarios!A14</f>
        <v>D1_Repurpose_Pima_ops_EchoGHub_EchoTargets</v>
      </c>
      <c r="C60" t="s">
        <v>190</v>
      </c>
      <c r="D60">
        <f>IF(Scenarios!D14=1,0, L60)</f>
        <v>307</v>
      </c>
      <c r="E60">
        <f>IF(Scenarios!E14=1,0, M60)</f>
        <v>0</v>
      </c>
      <c r="F60">
        <f t="shared" si="11"/>
        <v>307</v>
      </c>
      <c r="G60" s="2">
        <f>YearMap!B5</f>
        <v>9049.5031953810158</v>
      </c>
      <c r="H60" s="2">
        <f>YearMap!C5</f>
        <v>961844.18927653122</v>
      </c>
      <c r="I60" s="2">
        <f>YearMap!D5</f>
        <v>1107804.9806453434</v>
      </c>
      <c r="J60">
        <f>1-BaselineCalc!$B$5</f>
        <v>0.99299999999999999</v>
      </c>
      <c r="K60">
        <f>Scenarios!G14</f>
        <v>0</v>
      </c>
      <c r="L60">
        <f>IF(Scenarios!$Q14=1,BaselineCalc!$B$7*(1+Parameters_Public!$C44)^(IF($C60="FY2026",0,IF($C60="FY2027",1,IF($C60="FY2028",2,IF($C60="FY2029",3,IF($C60="FY2030",4,0))))))+ROUND(Scenarios!L14*Scenarios!$F14,0),BaselineCalc!$B$7+ROUND(Scenarios!L14*Scenarios!$F14,0))</f>
        <v>307</v>
      </c>
      <c r="M60">
        <f>IF(Scenarios!$R14=1,BaselineCalc!$B$8*(1+Parameters_Public!$C45)^(IF($C60="FY2026",0,IF($C60="FY2027",1,IF($C60="FY2028",2,IF($C60="FY2029",3,IF($C60="FY2030",4,0))))))+Scenarios!L14-ROUND(Scenarios!L14*Scenarios!$F14,0),BaselineCalc!$B$8+Scenarios!L14-ROUND(Scenarios!L14*Scenarios!$F14,0))</f>
        <v>296</v>
      </c>
      <c r="N60" s="11">
        <f t="shared" si="12"/>
        <v>296</v>
      </c>
      <c r="O60" s="11">
        <f>(Parameters_Public!$C$23*(L60-D60)+Parameters_Public!$C$24*(M60-E60))</f>
        <v>251.6</v>
      </c>
      <c r="P60">
        <f>YearMap!E5</f>
        <v>500</v>
      </c>
      <c r="Q60">
        <f>IF(Scenarios!N14="lease", YearMap!F5, YearMap!G5)</f>
        <v>0.6</v>
      </c>
      <c r="R60" s="2">
        <f>IF(Scenarios!D14=1, Q60*H60, H60)</f>
        <v>961844.18927653122</v>
      </c>
      <c r="S60" s="2">
        <f>IF(Scenarios!E14=1, Q60*I60, I60)</f>
        <v>664682.98838720599</v>
      </c>
      <c r="T60" s="2">
        <f>IF(C60="FY2026", (Scenarios!D14+Scenarios!E14)*BaselineCalc!$B$22, 0)</f>
        <v>0</v>
      </c>
      <c r="U60" s="2">
        <f t="shared" si="13"/>
        <v>4373891.5860351892</v>
      </c>
      <c r="V60" s="2">
        <f t="shared" si="14"/>
        <v>2402655.0039578634</v>
      </c>
      <c r="W60" s="2">
        <f>U60+V60+IF(Parameters_Public!$C$28=1, T60, 0)</f>
        <v>6776546.5899930522</v>
      </c>
      <c r="X60" s="2">
        <f t="shared" si="15"/>
        <v>12131.304314344883</v>
      </c>
      <c r="Y60" s="2">
        <f>INDEX(YearMap!$I$2:$I$6, MATCH(C60, YearMap!$A$2:$A$6, 0))</f>
        <v>5398.4527031249991</v>
      </c>
      <c r="Z60" s="2">
        <f>W60 - ((Y60 + IF(Parameters_Public!$C$20=1, Parameters_Public!$C$19, 0))*AC60)</f>
        <v>3340931.6400274276</v>
      </c>
      <c r="AA60" s="2">
        <f t="shared" si="16"/>
        <v>5980.9016112198842</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(1-Parameters_Public!$C$43)*$G60*$AB60*$J60*(1-$K60)) + AB60*INDEX(YearMap!$Q$2:$Q$6, MATCH(C60, YearMap!$A$2:$A$6, 0))</f>
        <v>6601823.4565327857</v>
      </c>
      <c r="AF60" s="2">
        <f t="shared" si="18"/>
        <v>-47844.422697317787</v>
      </c>
      <c r="AG60" t="str">
        <f t="shared" si="19"/>
        <v>D1_Repurpose_Pima_ops_EchoGHub_EchoTargets|FY2029</v>
      </c>
    </row>
    <row r="61" spans="1:33" x14ac:dyDescent="0.35">
      <c r="A61" t="str">
        <f t="shared" si="10"/>
        <v>D1_Repurpose_Pima_ops_EchoGHub_EchoTargets|FY2030</v>
      </c>
      <c r="B61" t="str">
        <f>Scenarios!A14</f>
        <v>D1_Repurpose_Pima_ops_EchoGHub_EchoTargets</v>
      </c>
      <c r="C61" t="s">
        <v>102</v>
      </c>
      <c r="D61">
        <f>IF(Scenarios!D14=1,0, L61)</f>
        <v>307</v>
      </c>
      <c r="E61">
        <f>IF(Scenarios!E14=1,0, M61)</f>
        <v>0</v>
      </c>
      <c r="F61">
        <f t="shared" si="11"/>
        <v>307</v>
      </c>
      <c r="G61" s="2">
        <f>YearMap!B6</f>
        <v>9275.7407752655399</v>
      </c>
      <c r="H61" s="2">
        <f>YearMap!C6</f>
        <v>985890.29400844453</v>
      </c>
      <c r="I61" s="2">
        <f>YearMap!D6</f>
        <v>1135500.1051614769</v>
      </c>
      <c r="J61">
        <f>1-BaselineCalc!$B$5</f>
        <v>0.99299999999999999</v>
      </c>
      <c r="K61">
        <f>Scenarios!G14</f>
        <v>0</v>
      </c>
      <c r="L61">
        <f>IF(Scenarios!$Q14=1,BaselineCalc!$B$7*(1+Parameters_Public!$C44)^(IF($C61="FY2026",0,IF($C61="FY2027",1,IF($C61="FY2028",2,IF($C61="FY2029",3,IF($C61="FY2030",4,0))))))+ROUND(Scenarios!M14*Scenarios!$F14,0),BaselineCalc!$B$7+ROUND(Scenarios!M14*Scenarios!$F14,0))</f>
        <v>307</v>
      </c>
      <c r="M61">
        <f>IF(Scenarios!$R14=1,BaselineCalc!$B$8*(1+Parameters_Public!$C45)^(IF($C61="FY2026",0,IF($C61="FY2027",1,IF($C61="FY2028",2,IF($C61="FY2029",3,IF($C61="FY2030",4,0))))))+Scenarios!M14-ROUND(Scenarios!M14*Scenarios!$F14,0),BaselineCalc!$B$8+Scenarios!M14-ROUND(Scenarios!M14*Scenarios!$F14,0))</f>
        <v>296</v>
      </c>
      <c r="N61" s="11">
        <f t="shared" si="12"/>
        <v>296</v>
      </c>
      <c r="O61" s="11">
        <f>(Parameters_Public!$C$23*(L61-D61)+Parameters_Public!$C$24*(M61-E61))</f>
        <v>251.6</v>
      </c>
      <c r="P61">
        <f>YearMap!E6</f>
        <v>300</v>
      </c>
      <c r="Q61">
        <f>IF(Scenarios!N14="lease", YearMap!F6, YearMap!G6)</f>
        <v>0.6</v>
      </c>
      <c r="R61" s="2">
        <f>IF(Scenarios!D14=1, Q61*H61, H61)</f>
        <v>985890.29400844453</v>
      </c>
      <c r="S61" s="2">
        <f>IF(Scenarios!E14=1, Q61*I61, I61)</f>
        <v>681300.06309688615</v>
      </c>
      <c r="T61" s="2">
        <f>IF(C61="FY2026", (Scenarios!D14+Scenarios!E14)*BaselineCalc!$B$22, 0)</f>
        <v>0</v>
      </c>
      <c r="U61" s="2">
        <f t="shared" si="13"/>
        <v>4483238.8756860681</v>
      </c>
      <c r="V61" s="2">
        <f t="shared" si="14"/>
        <v>2409256.3790568099</v>
      </c>
      <c r="W61" s="2">
        <f>U61+V61+IF(Parameters_Public!$C$28=1, T61, 0)</f>
        <v>6892495.2547428776</v>
      </c>
      <c r="X61" s="2">
        <f t="shared" si="15"/>
        <v>12338.874426678978</v>
      </c>
      <c r="Y61" s="2">
        <f>INDEX(YearMap!$I$2:$I$6, MATCH(C61, YearMap!$A$2:$A$6, 0))</f>
        <v>5533.4140207031242</v>
      </c>
      <c r="Z61" s="2">
        <f>W61 - ((Y61 + IF(Parameters_Public!$C$20=1, Parameters_Public!$C$19, 0))*AC61)</f>
        <v>3381490.9127781126</v>
      </c>
      <c r="AA61" s="2">
        <f t="shared" si="16"/>
        <v>6053.5104059758551</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(1-Parameters_Public!$C$43)*$G61*$AB61*$J61*(1-$K61)) + AB61*INDEX(YearMap!$Q$2:$Q$6, MATCH(C61, YearMap!$A$2:$A$6, 0))</f>
        <v>6711279.042946104</v>
      </c>
      <c r="AF61" s="2">
        <f t="shared" si="18"/>
        <v>6549.4667352503166</v>
      </c>
      <c r="AG61" t="str">
        <f t="shared" si="19"/>
        <v>D1_Repurpose_Pima_ops_EchoGHub_EchoTargets|FY2030</v>
      </c>
    </row>
    <row r="62" spans="1:33" x14ac:dyDescent="0.35">
      <c r="A62" t="str">
        <f t="shared" si="10"/>
        <v>B1_StatusQuo_Decline|FY2026</v>
      </c>
      <c r="B62" t="str">
        <f>Scenarios!A15</f>
        <v>B1_StatusQuo_Decline</v>
      </c>
      <c r="C62" t="s">
        <v>187</v>
      </c>
      <c r="D62">
        <f>IF(Scenarios!D15=1,0, L62)</f>
        <v>257</v>
      </c>
      <c r="E62">
        <f>IF(Scenarios!E15=1,0, M62)</f>
        <v>296</v>
      </c>
      <c r="F62">
        <f t="shared" si="11"/>
        <v>553</v>
      </c>
      <c r="G62" s="2">
        <f>YearMap!B2</f>
        <v>8403.3633363471963</v>
      </c>
      <c r="H62" s="2">
        <f>YearMap!C2</f>
        <v>922499.99999999988</v>
      </c>
      <c r="I62" s="2">
        <f>YearMap!D2</f>
        <v>999374.99999999988</v>
      </c>
      <c r="J62">
        <f>1-BaselineCalc!$B$5</f>
        <v>0.99299999999999999</v>
      </c>
      <c r="K62">
        <f>Scenarios!G15</f>
        <v>0</v>
      </c>
      <c r="L62">
        <f>IF(Scenarios!$Q15=1,BaselineCalc!$B$7*(1+Parameters_Public!$C44)^(IF($C62="FY2026",0,IF($C62="FY2027",1,IF($C62="FY2028",2,IF($C62="FY2029",3,IF($C62="FY2030",4,0))))))+ROUND(Scenarios!I15*Scenarios!$F15,0),BaselineCalc!$B$7+ROUND(Scenarios!I15*Scenarios!$F15,0))</f>
        <v>257</v>
      </c>
      <c r="M62">
        <f>IF(Scenarios!$R15=1,BaselineCalc!$B$8*(1+Parameters_Public!$C45)^(IF($C62="FY2026",0,IF($C62="FY2027",1,IF($C62="FY2028",2,IF($C62="FY2029",3,IF($C62="FY2030",4,0))))))+Scenarios!I15-ROUND(Scenarios!I15*Scenarios!$F15,0),BaselineCalc!$B$8+Scenarios!I15-ROUND(Scenarios!I15*Scenarios!$F15,0))</f>
        <v>296</v>
      </c>
      <c r="N62" s="11">
        <f t="shared" si="12"/>
        <v>0</v>
      </c>
      <c r="O62" s="11">
        <f>(Parameters_Public!$C$23*(L62-D62)+Parameters_Public!$C$24*(M62-E62))</f>
        <v>0</v>
      </c>
      <c r="P62">
        <f>YearMap!E2</f>
        <v>1000</v>
      </c>
      <c r="Q62">
        <f>IF(Scenarios!N15="lease", YearMap!F2, YearMap!G2)</f>
        <v>0.75</v>
      </c>
      <c r="R62" s="2">
        <f>IF(Scenarios!D15=1, Q62*H62, H62)</f>
        <v>922499.99999999988</v>
      </c>
      <c r="S62" s="2">
        <f>IF(Scenarios!E15=1, Q62*I62, I62)</f>
        <v>999374.99999999988</v>
      </c>
      <c r="T62" s="2">
        <f>IF(C62="FY2026", (Scenarios!D15+Scenarios!E15)*BaselineCalc!$B$22, 0)</f>
        <v>0</v>
      </c>
      <c r="U62" s="2">
        <f t="shared" si="13"/>
        <v>6522952.3805249995</v>
      </c>
      <c r="V62" s="2">
        <f t="shared" si="14"/>
        <v>0</v>
      </c>
      <c r="W62" s="2">
        <f>U62+V62+IF(Parameters_Public!$C$28=1, T62, 0)</f>
        <v>6522952.3805249995</v>
      </c>
      <c r="X62" s="2">
        <f t="shared" si="15"/>
        <v>11795.573924999999</v>
      </c>
      <c r="Y62" s="2">
        <f>INDEX(YearMap!$I$2:$I$6, MATCH(C62, YearMap!$A$2:$A$6, 0))</f>
        <v>5013</v>
      </c>
      <c r="Z62" s="2">
        <f>W62 - ((Y62 + IF(Parameters_Public!$C$20=1, Parameters_Public!$C$19, 0))*AC62)</f>
        <v>3334935.0305249994</v>
      </c>
      <c r="AA62" s="2">
        <f t="shared" si="16"/>
        <v>6030.623924999999</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(1-Parameters_Public!$C$43)*$G62*$AB62*$J62*(1-$K62)) + AB62*INDEX(YearMap!$Q$2:$Q$6, MATCH(C62, YearMap!$A$2:$A$6, 0))</f>
        <v>6522952.3805249995</v>
      </c>
      <c r="AF62" s="2">
        <f t="shared" si="18"/>
        <v>-459335.03052499983</v>
      </c>
      <c r="AG62" t="str">
        <f t="shared" si="19"/>
        <v>B1_StatusQuo_Decline|FY2026</v>
      </c>
    </row>
    <row r="63" spans="1:33" x14ac:dyDescent="0.35">
      <c r="A63" t="str">
        <f t="shared" si="10"/>
        <v>B1_StatusQuo_Decline|FY2027</v>
      </c>
      <c r="B63" t="str">
        <f>Scenarios!A15</f>
        <v>B1_StatusQuo_Decline</v>
      </c>
      <c r="C63" t="s">
        <v>188</v>
      </c>
      <c r="D63" s="11">
        <f>IF(Scenarios!D15=1,0, L63)</f>
        <v>251.85999999999999</v>
      </c>
      <c r="E63" s="11">
        <f>IF(Scenarios!E15=1,0, M63)</f>
        <v>290.08</v>
      </c>
      <c r="F63" s="11">
        <f t="shared" si="11"/>
        <v>541.93999999999994</v>
      </c>
      <c r="G63" s="2">
        <f>YearMap!B3</f>
        <v>8613.4474197558757</v>
      </c>
      <c r="H63" s="2">
        <f>YearMap!C3</f>
        <v>915497.14624773955</v>
      </c>
      <c r="I63" s="2">
        <f>YearMap!D3</f>
        <v>1054424.7287522603</v>
      </c>
      <c r="J63">
        <f>1-BaselineCalc!$B$5</f>
        <v>0.99299999999999999</v>
      </c>
      <c r="K63">
        <f>Scenarios!G15</f>
        <v>0</v>
      </c>
      <c r="L63" s="11">
        <f>IF(Scenarios!$Q15=1,BaselineCalc!$B$7*(1+Parameters_Public!$C44)^(IF($C63="FY2026",0,IF($C63="FY2027",1,IF($C63="FY2028",2,IF($C63="FY2029",3,IF($C63="FY2030",4,0))))))+ROUND(Scenarios!J15*Scenarios!$F15,0),BaselineCalc!$B$7+ROUND(Scenarios!J15*Scenarios!$F15,0))</f>
        <v>251.85999999999999</v>
      </c>
      <c r="M63" s="11">
        <f>IF(Scenarios!$R15=1,BaselineCalc!$B$8*(1+Parameters_Public!$C45)^(IF($C63="FY2026",0,IF($C63="FY2027",1,IF($C63="FY2028",2,IF($C63="FY2029",3,IF($C63="FY2030",4,0))))))+Scenarios!J15-ROUND(Scenarios!J15*Scenarios!$F15,0),BaselineCalc!$B$8+Scenarios!J15-ROUND(Scenarios!J15*Scenarios!$F15,0))</f>
        <v>290.08</v>
      </c>
      <c r="N63" s="11">
        <f t="shared" si="12"/>
        <v>0</v>
      </c>
      <c r="O63" s="11">
        <f>(Parameters_Public!$C$23*(L63-D63)+Parameters_Public!$C$24*(M63-E63))</f>
        <v>0</v>
      </c>
      <c r="P63">
        <f>YearMap!E3</f>
        <v>800</v>
      </c>
      <c r="Q63">
        <f>IF(Scenarios!N15="lease", YearMap!F3, YearMap!G3)</f>
        <v>0.7</v>
      </c>
      <c r="R63" s="2">
        <f>IF(Scenarios!D15=1, Q63*H63, H63)</f>
        <v>915497.14624773955</v>
      </c>
      <c r="S63" s="2">
        <f>IF(Scenarios!E15=1, Q63*I63, I63)</f>
        <v>1054424.7287522603</v>
      </c>
      <c r="T63" s="2">
        <f>IF(C63="FY2026", (Scenarios!D15+Scenarios!E15)*BaselineCalc!$B$22, 0)</f>
        <v>0</v>
      </c>
      <c r="U63" s="2">
        <f t="shared" si="13"/>
        <v>6591428.3146748608</v>
      </c>
      <c r="V63" s="2">
        <f t="shared" si="14"/>
        <v>0</v>
      </c>
      <c r="W63" s="2">
        <f>U63+V63+IF(Parameters_Public!$C$28=1, T63, 0)</f>
        <v>6591428.3146748608</v>
      </c>
      <c r="X63" s="2">
        <f t="shared" si="15"/>
        <v>12162.65327282515</v>
      </c>
      <c r="Y63" s="2">
        <f>INDEX(YearMap!$I$2:$I$6, MATCH(C63, YearMap!$A$2:$A$6, 0))</f>
        <v>5138.3249999999998</v>
      </c>
      <c r="Z63" s="2">
        <f>W63 - ((Y63 + IF(Parameters_Public!$C$20=1, Parameters_Public!$C$19, 0))*AC63)</f>
        <v>3399252.6811748613</v>
      </c>
      <c r="AA63" s="2">
        <f t="shared" si="16"/>
        <v>6272.3782728251499</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(1-Parameters_Public!$C$43)*$G63*$AB63*$J63*(1-$K63)) + AB63*INDEX(YearMap!$Q$2:$Q$6, MATCH(C63, YearMap!$A$2:$A$6, 0))</f>
        <v>6591428.3146748608</v>
      </c>
      <c r="AF63" s="2">
        <f t="shared" si="18"/>
        <v>-500524.68659986276</v>
      </c>
      <c r="AG63" t="str">
        <f t="shared" si="19"/>
        <v>B1_StatusQuo_Decline|FY2027</v>
      </c>
    </row>
    <row r="64" spans="1:33" x14ac:dyDescent="0.35">
      <c r="A64" t="str">
        <f t="shared" si="10"/>
        <v>B1_StatusQuo_Decline|FY2028</v>
      </c>
      <c r="B64" t="str">
        <f>Scenarios!A15</f>
        <v>B1_StatusQuo_Decline</v>
      </c>
      <c r="C64" t="s">
        <v>189</v>
      </c>
      <c r="D64" s="11">
        <f>IF(Scenarios!D15=1,0, L64)</f>
        <v>246.82279999999997</v>
      </c>
      <c r="E64" s="11">
        <f>IF(Scenarios!E15=1,0, M64)</f>
        <v>284.27839999999998</v>
      </c>
      <c r="F64" s="11">
        <f t="shared" si="11"/>
        <v>531.10119999999995</v>
      </c>
      <c r="G64" s="2">
        <f>YearMap!B4</f>
        <v>8828.7836052497714</v>
      </c>
      <c r="H64" s="2">
        <f>YearMap!C4</f>
        <v>938384.57490393298</v>
      </c>
      <c r="I64" s="2">
        <f>YearMap!D4</f>
        <v>1080785.3469710669</v>
      </c>
      <c r="J64">
        <f>1-BaselineCalc!$B$5</f>
        <v>0.99299999999999999</v>
      </c>
      <c r="K64">
        <f>Scenarios!G15</f>
        <v>0</v>
      </c>
      <c r="L64" s="11">
        <f>IF(Scenarios!$Q15=1,BaselineCalc!$B$7*(1+Parameters_Public!$C44)^(IF($C64="FY2026",0,IF($C64="FY2027",1,IF($C64="FY2028",2,IF($C64="FY2029",3,IF($C64="FY2030",4,0))))))+ROUND(Scenarios!K15*Scenarios!$F15,0),BaselineCalc!$B$7+ROUND(Scenarios!K15*Scenarios!$F15,0))</f>
        <v>246.82279999999997</v>
      </c>
      <c r="M64" s="11">
        <f>IF(Scenarios!$R15=1,BaselineCalc!$B$8*(1+Parameters_Public!$C45)^(IF($C64="FY2026",0,IF($C64="FY2027",1,IF($C64="FY2028",2,IF($C64="FY2029",3,IF($C64="FY2030",4,0))))))+Scenarios!K15-ROUND(Scenarios!K15*Scenarios!$F15,0),BaselineCalc!$B$8+Scenarios!K15-ROUND(Scenarios!K15*Scenarios!$F15,0))</f>
        <v>284.27839999999998</v>
      </c>
      <c r="N64" s="11">
        <f t="shared" si="12"/>
        <v>0</v>
      </c>
      <c r="O64" s="11">
        <f>(Parameters_Public!$C$23*(L64-D64)+Parameters_Public!$C$24*(M64-E64))</f>
        <v>0</v>
      </c>
      <c r="P64">
        <f>YearMap!E4</f>
        <v>600</v>
      </c>
      <c r="Q64">
        <f>IF(Scenarios!N15="lease", YearMap!F4, YearMap!G4)</f>
        <v>0.65</v>
      </c>
      <c r="R64" s="2">
        <f>IF(Scenarios!D15=1, Q64*H64, H64)</f>
        <v>938384.57490393298</v>
      </c>
      <c r="S64" s="2">
        <f>IF(Scenarios!E15=1, Q64*I64, I64)</f>
        <v>1080785.3469710669</v>
      </c>
      <c r="T64" s="2">
        <f>IF(C64="FY2026", (Scenarios!D15+Scenarios!E15)*BaselineCalc!$B$22, 0)</f>
        <v>0</v>
      </c>
      <c r="U64" s="2">
        <f t="shared" si="13"/>
        <v>6661190.4567393353</v>
      </c>
      <c r="V64" s="2">
        <f t="shared" si="14"/>
        <v>0</v>
      </c>
      <c r="W64" s="2">
        <f>U64+V64+IF(Parameters_Public!$C$28=1, T64, 0)</f>
        <v>6661190.4567393353</v>
      </c>
      <c r="X64" s="2">
        <f t="shared" si="15"/>
        <v>12542.224451270937</v>
      </c>
      <c r="Y64" s="2">
        <f>INDEX(YearMap!$I$2:$I$6, MATCH(C64, YearMap!$A$2:$A$6, 0))</f>
        <v>5266.7831249999999</v>
      </c>
      <c r="Z64" s="2">
        <f>W64 - ((Y64 + IF(Parameters_Public!$C$20=1, Parameters_Public!$C$19, 0))*AC64)</f>
        <v>3464634.0715720858</v>
      </c>
      <c r="AA64" s="2">
        <f t="shared" si="16"/>
        <v>6523.491326270937</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(1-Parameters_Public!$C$43)*$G64*$AB64*$J64*(1-$K64)) + AB64*INDEX(YearMap!$Q$2:$Q$6, MATCH(C64, YearMap!$A$2:$A$6, 0))</f>
        <v>6661190.4567393353</v>
      </c>
      <c r="AF64" s="2">
        <f t="shared" si="18"/>
        <v>-542877.76233799849</v>
      </c>
      <c r="AG64" t="str">
        <f t="shared" si="19"/>
        <v>B1_StatusQuo_Decline|FY2028</v>
      </c>
    </row>
    <row r="65" spans="1:33" x14ac:dyDescent="0.35">
      <c r="A65" t="str">
        <f t="shared" si="10"/>
        <v>B1_StatusQuo_Decline|FY2029</v>
      </c>
      <c r="B65" t="str">
        <f>Scenarios!A15</f>
        <v>B1_StatusQuo_Decline</v>
      </c>
      <c r="C65" t="s">
        <v>190</v>
      </c>
      <c r="D65" s="11">
        <f>IF(Scenarios!D15=1,0, L65)</f>
        <v>241.88634399999998</v>
      </c>
      <c r="E65" s="11">
        <f>IF(Scenarios!E15=1,0, M65)</f>
        <v>278.59283199999999</v>
      </c>
      <c r="F65" s="11">
        <f t="shared" si="11"/>
        <v>520.47917599999994</v>
      </c>
      <c r="G65" s="2">
        <f>YearMap!B5</f>
        <v>9049.5031953810158</v>
      </c>
      <c r="H65" s="2">
        <f>YearMap!C5</f>
        <v>961844.18927653122</v>
      </c>
      <c r="I65" s="2">
        <f>YearMap!D5</f>
        <v>1107804.9806453434</v>
      </c>
      <c r="J65">
        <f>1-BaselineCalc!$B$5</f>
        <v>0.99299999999999999</v>
      </c>
      <c r="K65">
        <f>Scenarios!G15</f>
        <v>0</v>
      </c>
      <c r="L65" s="11">
        <f>IF(Scenarios!$Q15=1,BaselineCalc!$B$7*(1+Parameters_Public!$C44)^(IF($C65="FY2026",0,IF($C65="FY2027",1,IF($C65="FY2028",2,IF($C65="FY2029",3,IF($C65="FY2030",4,0))))))+ROUND(Scenarios!L15*Scenarios!$F15,0),BaselineCalc!$B$7+ROUND(Scenarios!L15*Scenarios!$F15,0))</f>
        <v>241.88634399999998</v>
      </c>
      <c r="M65" s="11">
        <f>IF(Scenarios!$R15=1,BaselineCalc!$B$8*(1+Parameters_Public!$C45)^(IF($C65="FY2026",0,IF($C65="FY2027",1,IF($C65="FY2028",2,IF($C65="FY2029",3,IF($C65="FY2030",4,0))))))+Scenarios!L15-ROUND(Scenarios!L15*Scenarios!$F15,0),BaselineCalc!$B$8+Scenarios!L15-ROUND(Scenarios!L15*Scenarios!$F15,0))</f>
        <v>278.59283199999999</v>
      </c>
      <c r="N65" s="11">
        <f t="shared" si="12"/>
        <v>0</v>
      </c>
      <c r="O65" s="11">
        <f>(Parameters_Public!$C$23*(L65-D65)+Parameters_Public!$C$24*(M65-E65))</f>
        <v>0</v>
      </c>
      <c r="P65">
        <f>YearMap!E5</f>
        <v>500</v>
      </c>
      <c r="Q65">
        <f>IF(Scenarios!N15="lease", YearMap!F5, YearMap!G5)</f>
        <v>0.6</v>
      </c>
      <c r="R65" s="2">
        <f>IF(Scenarios!D15=1, Q65*H65, H65)</f>
        <v>961844.18927653122</v>
      </c>
      <c r="S65" s="2">
        <f>IF(Scenarios!E15=1, Q65*I65, I65)</f>
        <v>1107804.9806453434</v>
      </c>
      <c r="T65" s="2">
        <f>IF(C65="FY2026", (Scenarios!D15+Scenarios!E15)*BaselineCalc!$B$22, 0)</f>
        <v>0</v>
      </c>
      <c r="U65" s="2">
        <f t="shared" si="13"/>
        <v>6732269.04630931</v>
      </c>
      <c r="V65" s="2">
        <f t="shared" si="14"/>
        <v>0</v>
      </c>
      <c r="W65" s="2">
        <f>U65+V65+IF(Parameters_Public!$C$28=1, T65, 0)</f>
        <v>6732269.04630931</v>
      </c>
      <c r="X65" s="2">
        <f t="shared" si="15"/>
        <v>12934.751968461675</v>
      </c>
      <c r="Y65" s="2">
        <f>INDEX(YearMap!$I$2:$I$6, MATCH(C65, YearMap!$A$2:$A$6, 0))</f>
        <v>5398.4527031249991</v>
      </c>
      <c r="Z65" s="2">
        <f>W65 - ((Y65 + IF(Parameters_Public!$C$20=1, Parameters_Public!$C$19, 0))*AC65)</f>
        <v>3531112.5153186382</v>
      </c>
      <c r="AA65" s="2">
        <f t="shared" si="16"/>
        <v>6784.3492653366766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(1-Parameters_Public!$C$43)*$G65*$AB65*$J65*(1-$K65)) + AB65*INDEX(YearMap!$Q$2:$Q$6, MATCH(C65, YearMap!$A$2:$A$6, 0))</f>
        <v>6732269.04630931</v>
      </c>
      <c r="AF65" s="2">
        <f t="shared" si="18"/>
        <v>-586423.94478316884</v>
      </c>
      <c r="AG65" t="str">
        <f t="shared" si="19"/>
        <v>B1_StatusQuo_Decline|FY2029</v>
      </c>
    </row>
    <row r="66" spans="1:33" x14ac:dyDescent="0.35">
      <c r="A66" t="str">
        <f t="shared" si="10"/>
        <v>B1_StatusQuo_Decline|FY2030</v>
      </c>
      <c r="B66" t="str">
        <f>Scenarios!A15</f>
        <v>B1_StatusQuo_Decline</v>
      </c>
      <c r="C66" t="s">
        <v>102</v>
      </c>
      <c r="D66" s="11">
        <f>IF(Scenarios!D15=1,0, L66)</f>
        <v>237.04861711999996</v>
      </c>
      <c r="E66" s="11">
        <f>IF(Scenarios!E15=1,0, M66)</f>
        <v>273.02097535999997</v>
      </c>
      <c r="F66" s="11">
        <f t="shared" ref="F66:F97" si="20">D66+E66</f>
        <v>510.06959247999993</v>
      </c>
      <c r="G66" s="2">
        <f>YearMap!B6</f>
        <v>9275.7407752655399</v>
      </c>
      <c r="H66" s="2">
        <f>YearMap!C6</f>
        <v>985890.29400844453</v>
      </c>
      <c r="I66" s="2">
        <f>YearMap!D6</f>
        <v>1135500.1051614769</v>
      </c>
      <c r="J66">
        <f>1-BaselineCalc!$B$5</f>
        <v>0.99299999999999999</v>
      </c>
      <c r="K66">
        <f>Scenarios!G15</f>
        <v>0</v>
      </c>
      <c r="L66" s="11">
        <f>IF(Scenarios!$Q15=1,BaselineCalc!$B$7*(1+Parameters_Public!$C44)^(IF($C66="FY2026",0,IF($C66="FY2027",1,IF($C66="FY2028",2,IF($C66="FY2029",3,IF($C66="FY2030",4,0))))))+ROUND(Scenarios!M15*Scenarios!$F15,0),BaselineCalc!$B$7+ROUND(Scenarios!M15*Scenarios!$F15,0))</f>
        <v>237.04861711999996</v>
      </c>
      <c r="M66" s="11">
        <f>IF(Scenarios!$R15=1,BaselineCalc!$B$8*(1+Parameters_Public!$C45)^(IF($C66="FY2026",0,IF($C66="FY2027",1,IF($C66="FY2028",2,IF($C66="FY2029",3,IF($C66="FY2030",4,0))))))+Scenarios!M15-ROUND(Scenarios!M15*Scenarios!$F15,0),BaselineCalc!$B$8+Scenarios!M15-ROUND(Scenarios!M15*Scenarios!$F15,0))</f>
        <v>273.02097535999997</v>
      </c>
      <c r="N66" s="11">
        <f t="shared" ref="N66:N97" si="21">(L66-D66) + (M66-E66)</f>
        <v>0</v>
      </c>
      <c r="O66" s="11">
        <f>(Parameters_Public!$C$23*(L66-D66)+Parameters_Public!$C$24*(M66-E66))</f>
        <v>0</v>
      </c>
      <c r="P66">
        <f>YearMap!E6</f>
        <v>300</v>
      </c>
      <c r="Q66">
        <f>IF(Scenarios!N15="lease", YearMap!F6, YearMap!G6)</f>
        <v>0.6</v>
      </c>
      <c r="R66" s="2">
        <f>IF(Scenarios!D15=1, Q66*H66, H66)</f>
        <v>985890.29400844453</v>
      </c>
      <c r="S66" s="2">
        <f>IF(Scenarios!E15=1, Q66*I66, I66)</f>
        <v>1135500.1051614769</v>
      </c>
      <c r="T66" s="2">
        <f>IF(C66="FY2026", (Scenarios!D15+Scenarios!E15)*BaselineCalc!$B$22, 0)</f>
        <v>0</v>
      </c>
      <c r="U66" s="2">
        <f t="shared" si="13"/>
        <v>6804695.0703452164</v>
      </c>
      <c r="V66" s="2">
        <f t="shared" si="14"/>
        <v>0</v>
      </c>
      <c r="W66" s="2">
        <f>U66+V66+IF(Parameters_Public!$C$28=1, T66, 0)</f>
        <v>6804695.0703452164</v>
      </c>
      <c r="X66" s="2">
        <f t="shared" ref="X66:X97" si="22">IF(F66+O66&gt;0, W66/(F66+O66),"")</f>
        <v>13340.7189345678</v>
      </c>
      <c r="Y66" s="2">
        <f>INDEX(YearMap!$I$2:$I$6, MATCH(C66, YearMap!$A$2:$A$6, 0))</f>
        <v>5533.4140207031242</v>
      </c>
      <c r="Z66" s="2">
        <f>W66 - ((Y66 + IF(Parameters_Public!$C$20=1, Parameters_Public!$C$19, 0))*AC66)</f>
        <v>3598722.0057167201</v>
      </c>
      <c r="AA66" s="2">
        <f t="shared" si="16"/>
        <v>7055.3549138646758</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(1-Parameters_Public!$C$43)*$G66*$AB66*$J66*(1-$K66)) + AB66*INDEX(YearMap!$Q$2:$Q$6, MATCH(C66, YearMap!$A$2:$A$6, 0))</f>
        <v>6804695.0703452164</v>
      </c>
      <c r="AF66" s="2">
        <f t="shared" ref="AF66:AF97" si="23">AD66-AE66</f>
        <v>-631193.6658622073</v>
      </c>
      <c r="AG66" t="str">
        <f t="shared" si="19"/>
        <v>B1_StatusQuo_Decline|FY2030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83"/>
  <sheetViews>
    <sheetView zoomScale="80" zoomScaleNormal="80" workbookViewId="0">
      <pane xSplit="1" ySplit="3" topLeftCell="B35" activePane="bottomRight" state="frozen"/>
      <selection pane="topRight" activeCell="B1" sqref="B1"/>
      <selection pane="bottomLeft" activeCell="A4" sqref="A4"/>
      <selection pane="bottomRight" activeCell="H54" sqref="H54"/>
    </sheetView>
  </sheetViews>
  <sheetFormatPr defaultRowHeight="14.5" x14ac:dyDescent="0.3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x14ac:dyDescent="0.35">
      <c r="A1" s="136" t="s">
        <v>689</v>
      </c>
      <c r="B1" s="136"/>
      <c r="C1" s="136"/>
      <c r="D1" s="136"/>
      <c r="E1" s="136"/>
      <c r="F1" s="136"/>
      <c r="G1" s="136"/>
      <c r="H1" s="136"/>
    </row>
    <row r="3" spans="1:8" x14ac:dyDescent="0.35">
      <c r="A3" s="4" t="s">
        <v>600</v>
      </c>
      <c r="B3" s="4" t="s">
        <v>184</v>
      </c>
      <c r="C3" s="4" t="s">
        <v>690</v>
      </c>
      <c r="D3" s="4" t="s">
        <v>691</v>
      </c>
      <c r="E3" s="4" t="s">
        <v>692</v>
      </c>
      <c r="F3" s="4" t="s">
        <v>693</v>
      </c>
      <c r="G3" s="4" t="s">
        <v>694</v>
      </c>
      <c r="H3" s="4" t="s">
        <v>695</v>
      </c>
    </row>
    <row r="4" spans="1:8" x14ac:dyDescent="0.35">
      <c r="A4" t="str">
        <f>Scenarios!$A$3</f>
        <v>F1_CUSTOM1</v>
      </c>
      <c r="B4" t="s">
        <v>187</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x14ac:dyDescent="0.35">
      <c r="A5" t="str">
        <f>Scenarios!$A$3</f>
        <v>F1_CUSTOM1</v>
      </c>
      <c r="B5" t="s">
        <v>188</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x14ac:dyDescent="0.35">
      <c r="A6" t="str">
        <f>Scenarios!$A$3</f>
        <v>F1_CUSTOM1</v>
      </c>
      <c r="B6" t="s">
        <v>189</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x14ac:dyDescent="0.35">
      <c r="A7" t="str">
        <f>Scenarios!$A$3</f>
        <v>F1_CUSTOM1</v>
      </c>
      <c r="B7" t="s">
        <v>190</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x14ac:dyDescent="0.35">
      <c r="A8" t="str">
        <f>Scenarios!$A$3</f>
        <v>F1_CUSTOM1</v>
      </c>
      <c r="B8" t="s">
        <v>102</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x14ac:dyDescent="0.35">
      <c r="A9" t="str">
        <f>Scenarios!$A$4</f>
        <v>B3_StatusQuo_Targets</v>
      </c>
      <c r="B9" t="s">
        <v>187</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x14ac:dyDescent="0.35">
      <c r="A10" t="str">
        <f>Scenarios!$A$4</f>
        <v>B3_StatusQuo_Targets</v>
      </c>
      <c r="B10" t="s">
        <v>188</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x14ac:dyDescent="0.35">
      <c r="A11" t="str">
        <f>Scenarios!$A$4</f>
        <v>B3_StatusQuo_Targets</v>
      </c>
      <c r="B11" t="s">
        <v>189</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x14ac:dyDescent="0.35">
      <c r="A12" t="str">
        <f>Scenarios!$A$4</f>
        <v>B3_StatusQuo_Targets</v>
      </c>
      <c r="B12" t="s">
        <v>190</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x14ac:dyDescent="0.35">
      <c r="A13" t="str">
        <f>Scenarios!$A$4</f>
        <v>B3_StatusQuo_Targets</v>
      </c>
      <c r="B13" t="s">
        <v>102</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x14ac:dyDescent="0.35">
      <c r="A14" t="str">
        <f>Scenarios!$A$5</f>
        <v>C2_CoLocation_Echo_Targets</v>
      </c>
      <c r="B14" t="s">
        <v>187</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x14ac:dyDescent="0.35">
      <c r="A15" t="str">
        <f>Scenarios!$A$5</f>
        <v>C2_CoLocation_Echo_Targets</v>
      </c>
      <c r="B15" t="s">
        <v>188</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x14ac:dyDescent="0.35">
      <c r="A16" t="str">
        <f>Scenarios!$A$5</f>
        <v>C2_CoLocation_Echo_Targets</v>
      </c>
      <c r="B16" t="s">
        <v>189</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x14ac:dyDescent="0.35">
      <c r="A17" t="str">
        <f>Scenarios!$A$5</f>
        <v>C2_CoLocation_Echo_Targets</v>
      </c>
      <c r="B17" t="s">
        <v>190</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x14ac:dyDescent="0.35">
      <c r="A18" t="str">
        <f>Scenarios!$A$5</f>
        <v>C2_CoLocation_Echo_Targets</v>
      </c>
      <c r="B18" t="s">
        <v>102</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x14ac:dyDescent="0.35">
      <c r="A19" t="str">
        <f>Scenarios!$A$6</f>
        <v>C1_Grow_Both_Targets</v>
      </c>
      <c r="B19" t="s">
        <v>187</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1000000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1800000</v>
      </c>
    </row>
    <row r="20" spans="1:8" x14ac:dyDescent="0.35">
      <c r="A20" t="str">
        <f>Scenarios!$A$6</f>
        <v>C1_Grow_Both_Targets</v>
      </c>
      <c r="B20" t="s">
        <v>188</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x14ac:dyDescent="0.35">
      <c r="A21" t="str">
        <f>Scenarios!$A$6</f>
        <v>C1_Grow_Both_Targets</v>
      </c>
      <c r="B21" t="s">
        <v>189</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x14ac:dyDescent="0.35">
      <c r="A22" t="str">
        <f>Scenarios!$A$6</f>
        <v>C1_Grow_Both_Targets</v>
      </c>
      <c r="B22" t="s">
        <v>190</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x14ac:dyDescent="0.35">
      <c r="A23" t="str">
        <f>Scenarios!$A$6</f>
        <v>C1_Grow_Both_Targets</v>
      </c>
      <c r="B23" t="s">
        <v>102</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x14ac:dyDescent="0.35">
      <c r="A24" t="str">
        <f>Scenarios!$A$7</f>
        <v>B2_StatusQuo_Steady</v>
      </c>
      <c r="B24" t="s">
        <v>187</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x14ac:dyDescent="0.35">
      <c r="A25" t="str">
        <f>Scenarios!$A$7</f>
        <v>B2_StatusQuo_Steady</v>
      </c>
      <c r="B25" t="s">
        <v>188</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x14ac:dyDescent="0.35">
      <c r="A26" t="str">
        <f>Scenarios!$A$7</f>
        <v>B2_StatusQuo_Steady</v>
      </c>
      <c r="B26" t="s">
        <v>189</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x14ac:dyDescent="0.35">
      <c r="A27" t="str">
        <f>Scenarios!$A$7</f>
        <v>B2_StatusQuo_Steady</v>
      </c>
      <c r="B27" t="s">
        <v>190</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x14ac:dyDescent="0.35">
      <c r="A28" t="str">
        <f>Scenarios!$A$7</f>
        <v>B2_StatusQuo_Steady</v>
      </c>
      <c r="B28" t="s">
        <v>102</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x14ac:dyDescent="0.35">
      <c r="A29" t="str">
        <f>Scenarios!$A$8</f>
        <v>D2_EchoGHubRamp_PimaTargets</v>
      </c>
      <c r="B29" t="s">
        <v>187</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x14ac:dyDescent="0.35">
      <c r="A30" t="str">
        <f>Scenarios!$A$8</f>
        <v>D2_EchoGHubRamp_PimaTargets</v>
      </c>
      <c r="B30" t="s">
        <v>188</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x14ac:dyDescent="0.35">
      <c r="A31" t="str">
        <f>Scenarios!$A$8</f>
        <v>D2_EchoGHubRamp_PimaTargets</v>
      </c>
      <c r="B31" t="s">
        <v>189</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x14ac:dyDescent="0.35">
      <c r="A32" t="str">
        <f>Scenarios!$A$8</f>
        <v>D2_EchoGHubRamp_PimaTargets</v>
      </c>
      <c r="B32" t="s">
        <v>190</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x14ac:dyDescent="0.35">
      <c r="A33" t="str">
        <f>Scenarios!$A$8</f>
        <v>D2_EchoGHubRamp_PimaTargets</v>
      </c>
      <c r="B33" t="s">
        <v>102</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x14ac:dyDescent="0.35">
      <c r="A34" t="str">
        <f>Scenarios!$A$9</f>
        <v>A1_Repurpose_Both_ops</v>
      </c>
      <c r="B34" t="s">
        <v>187</v>
      </c>
      <c r="C34">
        <f>INDEX(Scenarios!$D:$D, MATCH($A34, Scenarios!$A:$A, 0)) + INDEX(Scenarios!$E:$E, MATCH($A34, Scenarios!$A:$A, 0))</f>
        <v>2</v>
      </c>
      <c r="D34">
        <f>IF($B34="FY2026",$C34*IF(INDEX(Scenarios!$N:$N, MATCH($A34, Scenarios!$A:$A, 0))="lease", Parameters_Public!$C$33, Parameters_Public!$C$31),0)</f>
        <v>2000000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714479.99999999953</v>
      </c>
      <c r="H34">
        <f t="shared" si="0"/>
        <v>2714479.9999999995</v>
      </c>
    </row>
    <row r="35" spans="1:8" x14ac:dyDescent="0.35">
      <c r="A35" t="str">
        <f>Scenarios!$A$9</f>
        <v>A1_Repurpose_Both_ops</v>
      </c>
      <c r="B35" t="s">
        <v>188</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x14ac:dyDescent="0.35">
      <c r="A36" t="str">
        <f>Scenarios!$A$9</f>
        <v>A1_Repurpose_Both_ops</v>
      </c>
      <c r="B36" t="s">
        <v>189</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x14ac:dyDescent="0.35">
      <c r="A37" t="str">
        <f>Scenarios!$A$9</f>
        <v>A1_Repurpose_Both_ops</v>
      </c>
      <c r="B37" t="s">
        <v>190</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x14ac:dyDescent="0.35">
      <c r="A38" t="str">
        <f>Scenarios!$A$9</f>
        <v>A1_Repurpose_Both_ops</v>
      </c>
      <c r="B38" t="s">
        <v>102</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x14ac:dyDescent="0.35">
      <c r="A39" t="str">
        <f>Scenarios!$A$10</f>
        <v>A2_Repurpose_Both_lease</v>
      </c>
      <c r="B39" t="s">
        <v>187</v>
      </c>
      <c r="C39">
        <f>INDEX(Scenarios!$D:$D, MATCH($A39, Scenarios!$A:$A, 0)) + INDEX(Scenarios!$E:$E, MATCH($A39, Scenarios!$A:$A, 0))</f>
        <v>2</v>
      </c>
      <c r="D39">
        <f>IF($B39="FY2026",$C39*IF(INDEX(Scenarios!$N:$N, MATCH($A39, Scenarios!$A:$A, 0))="lease", Parameters_Public!$C$33, Parameters_Public!$C$31),0)</f>
        <v>1600000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714479.99999999953</v>
      </c>
      <c r="H39">
        <f t="shared" si="1"/>
        <v>2314479.9999999995</v>
      </c>
    </row>
    <row r="40" spans="1:8" x14ac:dyDescent="0.35">
      <c r="A40" t="str">
        <f>Scenarios!$A$10</f>
        <v>A2_Repurpose_Both_lease</v>
      </c>
      <c r="B40" t="s">
        <v>188</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x14ac:dyDescent="0.35">
      <c r="A41" t="str">
        <f>Scenarios!$A$10</f>
        <v>A2_Repurpose_Both_lease</v>
      </c>
      <c r="B41" t="s">
        <v>189</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x14ac:dyDescent="0.35">
      <c r="A42" t="str">
        <f>Scenarios!$A$10</f>
        <v>A2_Repurpose_Both_lease</v>
      </c>
      <c r="B42" t="s">
        <v>190</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x14ac:dyDescent="0.35">
      <c r="A43" t="str">
        <f>Scenarios!$A$10</f>
        <v>A2_Repurpose_Both_lease</v>
      </c>
      <c r="B43" t="s">
        <v>102</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x14ac:dyDescent="0.35">
      <c r="A44" t="str">
        <f>Scenarios!$A$11</f>
        <v>D2_Repurpose_Echo_lease_PimaTargets</v>
      </c>
      <c r="B44" t="s">
        <v>187</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800000</v>
      </c>
      <c r="G44">
        <f>IF($B44="FY2026", INDEX(Receiving_Capacity!$L:$L, MATCH($A44, Receiving_Capacity!$A:$A, 0)), 0)</f>
        <v>0</v>
      </c>
      <c r="H44">
        <f t="shared" si="1"/>
        <v>1600000</v>
      </c>
    </row>
    <row r="45" spans="1:8" x14ac:dyDescent="0.35">
      <c r="A45" t="str">
        <f>Scenarios!$A$11</f>
        <v>D2_Repurpose_Echo_lease_PimaTargets</v>
      </c>
      <c r="B45" t="s">
        <v>188</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x14ac:dyDescent="0.35">
      <c r="A46" t="str">
        <f>Scenarios!$A$11</f>
        <v>D2_Repurpose_Echo_lease_PimaTargets</v>
      </c>
      <c r="B46" t="s">
        <v>189</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x14ac:dyDescent="0.35">
      <c r="A47" t="str">
        <f>Scenarios!$A$11</f>
        <v>D2_Repurpose_Echo_lease_PimaTargets</v>
      </c>
      <c r="B47" t="s">
        <v>190</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x14ac:dyDescent="0.35">
      <c r="A48" t="str">
        <f>Scenarios!$A$11</f>
        <v>D2_Repurpose_Echo_lease_PimaTargets</v>
      </c>
      <c r="B48" t="s">
        <v>102</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x14ac:dyDescent="0.35">
      <c r="A49" t="str">
        <f>Scenarios!$A$12</f>
        <v>D1_Repurpose_Echo_ops_PimaTargets</v>
      </c>
      <c r="B49" t="s">
        <v>187</v>
      </c>
      <c r="C49">
        <f>INDEX(Scenarios!$D:$D, MATCH($A49, Scenarios!$A:$A, 0)) + INDEX(Scenarios!$E:$E, MATCH($A49, Scenarios!$A:$A, 0))</f>
        <v>1</v>
      </c>
      <c r="D49">
        <f>IF($B49="FY2026",$C49*IF(INDEX(Scenarios!$N:$N, MATCH($A49, Scenarios!$A:$A, 0))="lease", Parameters_Public!$C$33, Parameters_Public!$C$31),0)</f>
        <v>1000000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800000</v>
      </c>
      <c r="G49">
        <f>IF($B49="FY2026", INDEX(Receiving_Capacity!$L:$L, MATCH($A49, Receiving_Capacity!$A:$A, 0)), 0)</f>
        <v>0</v>
      </c>
      <c r="H49">
        <f t="shared" si="1"/>
        <v>1800000</v>
      </c>
    </row>
    <row r="50" spans="1:8" x14ac:dyDescent="0.35">
      <c r="A50" t="str">
        <f>Scenarios!$A$12</f>
        <v>D1_Repurpose_Echo_ops_PimaTargets</v>
      </c>
      <c r="B50" t="s">
        <v>188</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x14ac:dyDescent="0.35">
      <c r="A51" t="str">
        <f>Scenarios!$A$12</f>
        <v>D1_Repurpose_Echo_ops_PimaTargets</v>
      </c>
      <c r="B51" t="s">
        <v>189</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x14ac:dyDescent="0.35">
      <c r="A52" t="str">
        <f>Scenarios!$A$12</f>
        <v>D1_Repurpose_Echo_ops_PimaTargets</v>
      </c>
      <c r="B52" t="s">
        <v>190</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x14ac:dyDescent="0.35">
      <c r="A53" t="str">
        <f>Scenarios!$A$12</f>
        <v>D1_Repurpose_Echo_ops_PimaTargets</v>
      </c>
      <c r="B53" t="s">
        <v>102</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x14ac:dyDescent="0.35">
      <c r="A54" t="str">
        <f>Scenarios!$A$13</f>
        <v>D2_Repurpose_Pima_lease_EchoGHub_EchoTargets</v>
      </c>
      <c r="B54" t="s">
        <v>187</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x14ac:dyDescent="0.35">
      <c r="A55" t="str">
        <f>Scenarios!$A$13</f>
        <v>D2_Repurpose_Pima_lease_EchoGHub_EchoTargets</v>
      </c>
      <c r="B55" t="s">
        <v>188</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x14ac:dyDescent="0.35">
      <c r="A56" t="str">
        <f>Scenarios!$A$13</f>
        <v>D2_Repurpose_Pima_lease_EchoGHub_EchoTargets</v>
      </c>
      <c r="B56" t="s">
        <v>189</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x14ac:dyDescent="0.35">
      <c r="A57" t="str">
        <f>Scenarios!$A$13</f>
        <v>D2_Repurpose_Pima_lease_EchoGHub_EchoTargets</v>
      </c>
      <c r="B57" t="s">
        <v>190</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x14ac:dyDescent="0.35">
      <c r="A58" t="str">
        <f>Scenarios!$A$13</f>
        <v>D2_Repurpose_Pima_lease_EchoGHub_EchoTargets</v>
      </c>
      <c r="B58" t="s">
        <v>102</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x14ac:dyDescent="0.35">
      <c r="A59" t="str">
        <f>Scenarios!$A$14</f>
        <v>D1_Repurpose_Pima_ops_EchoGHub_EchoTargets</v>
      </c>
      <c r="B59" t="s">
        <v>187</v>
      </c>
      <c r="C59">
        <f>INDEX(Scenarios!$D:$D, MATCH($A59, Scenarios!$A:$A, 0)) + INDEX(Scenarios!$E:$E, MATCH($A59, Scenarios!$A:$A, 0))</f>
        <v>1</v>
      </c>
      <c r="D59">
        <f>IF($B59="FY2026",$C59*IF(INDEX(Scenarios!$N:$N, MATCH($A59, Scenarios!$A:$A, 0))="lease", Parameters_Public!$C$33, Parameters_Public!$C$31),0)</f>
        <v>1000000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1800000</v>
      </c>
    </row>
    <row r="60" spans="1:8" x14ac:dyDescent="0.35">
      <c r="A60" t="str">
        <f>Scenarios!$A$14</f>
        <v>D1_Repurpose_Pima_ops_EchoGHub_EchoTargets</v>
      </c>
      <c r="B60" t="s">
        <v>188</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x14ac:dyDescent="0.35">
      <c r="A61" t="str">
        <f>Scenarios!$A$14</f>
        <v>D1_Repurpose_Pima_ops_EchoGHub_EchoTargets</v>
      </c>
      <c r="B61" t="s">
        <v>189</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x14ac:dyDescent="0.35">
      <c r="A62" t="str">
        <f>Scenarios!$A$14</f>
        <v>D1_Repurpose_Pima_ops_EchoGHub_EchoTargets</v>
      </c>
      <c r="B62" t="s">
        <v>190</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x14ac:dyDescent="0.35">
      <c r="A63" t="str">
        <f>Scenarios!$A$14</f>
        <v>D1_Repurpose_Pima_ops_EchoGHub_EchoTargets</v>
      </c>
      <c r="B63" t="s">
        <v>102</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x14ac:dyDescent="0.35">
      <c r="A64" t="str">
        <f>Scenarios!$A$15</f>
        <v>B1_StatusQuo_Decline</v>
      </c>
      <c r="B64" t="s">
        <v>187</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x14ac:dyDescent="0.35">
      <c r="A65" t="str">
        <f>Scenarios!$A$15</f>
        <v>B1_StatusQuo_Decline</v>
      </c>
      <c r="B65" t="s">
        <v>188</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x14ac:dyDescent="0.35">
      <c r="A66" t="str">
        <f>Scenarios!$A$15</f>
        <v>B1_StatusQuo_Decline</v>
      </c>
      <c r="B66" t="s">
        <v>189</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x14ac:dyDescent="0.35">
      <c r="A67" t="str">
        <f>Scenarios!$A$15</f>
        <v>B1_StatusQuo_Decline</v>
      </c>
      <c r="B67" t="s">
        <v>190</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x14ac:dyDescent="0.35">
      <c r="A68" t="str">
        <f>Scenarios!$A$15</f>
        <v>B1_StatusQuo_Decline</v>
      </c>
      <c r="B68" t="s">
        <v>102</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x14ac:dyDescent="0.35">
      <c r="A70" s="4" t="s">
        <v>600</v>
      </c>
      <c r="B70" s="4" t="s">
        <v>696</v>
      </c>
    </row>
    <row r="71" spans="1:8" x14ac:dyDescent="0.35">
      <c r="A71" t="str">
        <f t="array" ref="A71:A83">_xlfn.UNIQUE(A4:A68)</f>
        <v>F1_CUSTOM1</v>
      </c>
      <c r="B71" s="29">
        <f t="shared" ref="B71:B83" si="3">VLOOKUP(A71,A4:H63, 8, 0)</f>
        <v>0</v>
      </c>
    </row>
    <row r="72" spans="1:8" x14ac:dyDescent="0.35">
      <c r="A72" t="str">
        <v>B3_StatusQuo_Targets</v>
      </c>
      <c r="B72" s="29">
        <f t="shared" si="3"/>
        <v>0</v>
      </c>
    </row>
    <row r="73" spans="1:8" x14ac:dyDescent="0.35">
      <c r="A73" t="str">
        <v>C2_CoLocation_Echo_Targets</v>
      </c>
      <c r="B73" s="29">
        <f t="shared" si="3"/>
        <v>0</v>
      </c>
    </row>
    <row r="74" spans="1:8" x14ac:dyDescent="0.35">
      <c r="A74" t="str">
        <v>C1_Grow_Both_Targets</v>
      </c>
      <c r="B74" s="29">
        <f t="shared" si="3"/>
        <v>1800000</v>
      </c>
    </row>
    <row r="75" spans="1:8" x14ac:dyDescent="0.35">
      <c r="A75" t="str">
        <v>B2_StatusQuo_Steady</v>
      </c>
      <c r="B75" s="29">
        <f t="shared" si="3"/>
        <v>0</v>
      </c>
    </row>
    <row r="76" spans="1:8" x14ac:dyDescent="0.35">
      <c r="A76" t="str">
        <v>D2_EchoGHubRamp_PimaTargets</v>
      </c>
      <c r="B76" s="29">
        <f t="shared" si="3"/>
        <v>800000</v>
      </c>
    </row>
    <row r="77" spans="1:8" x14ac:dyDescent="0.35">
      <c r="A77" t="str">
        <v>A1_Repurpose_Both_ops</v>
      </c>
      <c r="B77" s="29">
        <f t="shared" si="3"/>
        <v>2714479.9999999995</v>
      </c>
    </row>
    <row r="78" spans="1:8" x14ac:dyDescent="0.35">
      <c r="A78" t="str">
        <v>A2_Repurpose_Both_lease</v>
      </c>
      <c r="B78" s="29">
        <f t="shared" si="3"/>
        <v>2314479.9999999995</v>
      </c>
    </row>
    <row r="79" spans="1:8" x14ac:dyDescent="0.35">
      <c r="A79" t="str">
        <v>D2_Repurpose_Echo_lease_PimaTargets</v>
      </c>
      <c r="B79" s="29">
        <f t="shared" si="3"/>
        <v>1600000</v>
      </c>
    </row>
    <row r="80" spans="1:8" x14ac:dyDescent="0.35">
      <c r="A80" t="str">
        <v>D1_Repurpose_Echo_ops_PimaTargets</v>
      </c>
      <c r="B80" s="29">
        <f t="shared" si="3"/>
        <v>1800000</v>
      </c>
    </row>
    <row r="81" spans="1:2" x14ac:dyDescent="0.35">
      <c r="A81" t="str">
        <v>D2_Repurpose_Pima_lease_EchoGHub_EchoTargets</v>
      </c>
      <c r="B81" s="29">
        <f t="shared" si="3"/>
        <v>1600000</v>
      </c>
    </row>
    <row r="82" spans="1:2" x14ac:dyDescent="0.35">
      <c r="A82" t="str">
        <v>D1_Repurpose_Pima_ops_EchoGHub_EchoTargets</v>
      </c>
      <c r="B82" s="29">
        <f t="shared" si="3"/>
        <v>1800000</v>
      </c>
    </row>
    <row r="83" spans="1:2" x14ac:dyDescent="0.35">
      <c r="A83" t="str">
        <v>B1_StatusQuo_Decline</v>
      </c>
      <c r="B83" s="29">
        <f t="shared" si="3"/>
        <v>0</v>
      </c>
    </row>
  </sheetData>
  <mergeCells count="1">
    <mergeCell ref="A1:H1"/>
  </mergeCells>
  <pageMargins left="0.75" right="0.75" top="1" bottom="1"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8"/>
  <sheetViews>
    <sheetView topLeftCell="A4" zoomScale="80" zoomScaleNormal="80" workbookViewId="0">
      <selection activeCell="L10" sqref="L10"/>
    </sheetView>
  </sheetViews>
  <sheetFormatPr defaultRowHeight="14.5" x14ac:dyDescent="0.3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x14ac:dyDescent="0.35">
      <c r="A1" s="136" t="s">
        <v>697</v>
      </c>
      <c r="B1" s="136"/>
      <c r="C1" s="136"/>
      <c r="D1" s="136"/>
      <c r="E1" s="136"/>
      <c r="F1" s="136"/>
      <c r="G1" s="136"/>
      <c r="H1" s="136"/>
      <c r="I1" s="136"/>
      <c r="J1" s="136"/>
      <c r="K1" s="136"/>
      <c r="L1" s="136"/>
    </row>
    <row r="3" spans="1:12" x14ac:dyDescent="0.35">
      <c r="A3" t="s">
        <v>600</v>
      </c>
      <c r="B3" t="s">
        <v>698</v>
      </c>
      <c r="C3" t="s">
        <v>699</v>
      </c>
      <c r="D3" t="s">
        <v>700</v>
      </c>
      <c r="E3" t="s">
        <v>701</v>
      </c>
      <c r="G3" t="s">
        <v>702</v>
      </c>
      <c r="H3" t="s">
        <v>703</v>
      </c>
      <c r="J3" t="s">
        <v>704</v>
      </c>
      <c r="K3" t="s">
        <v>705</v>
      </c>
      <c r="L3" t="s">
        <v>694</v>
      </c>
    </row>
    <row r="4" spans="1:12" x14ac:dyDescent="0.35">
      <c r="A4" t="str">
        <f>Scenarios!$A$3</f>
        <v>F1_CUSTOM1</v>
      </c>
      <c r="B4">
        <f>INDEX(Scenarios!$D:$D, MATCH($A4, Scenarios!$A:$A, 0))</f>
        <v>0</v>
      </c>
      <c r="C4">
        <f>INDEX(Scenarios!$E:$E, MATCH($A4, Scenarios!$A:$A, 0))</f>
        <v>0</v>
      </c>
      <c r="D4" s="11">
        <f>INDEX(Scenarios!$D:$D, MATCH($A4, Scenarios!$A:$A, 0))*Parameters_Public!$C$23*Parameters_Public!$C$10*Parameters_Public!$C$38 + INDEX(Scenarios!$E:$E, MATCH($A4, Scenarios!$A:$A, 0))*Parameters_Public!$C$24*Parameters_Public!$C$11*Parameters_Public!$C$40</f>
        <v>0</v>
      </c>
      <c r="E4" s="11">
        <f>INDEX(Scenarios!$D:$D, MATCH($A4, Scenarios!$A:$A, 0))*Parameters_Public!$C$23*Parameters_Public!$C$10*Parameters_Public!$C$39 + INDEX(Scenarios!$E:$E, MATCH($A4, Scenarios!$A:$A, 0))*Parameters_Public!$C$24*Parameters_Public!$C$11*Parameters_Public!$C$41</f>
        <v>0</v>
      </c>
      <c r="G4">
        <f>Parameters_Public!$C$35</f>
        <v>300</v>
      </c>
      <c r="H4">
        <f>Parameters_Public!$C$36</f>
        <v>100</v>
      </c>
      <c r="J4" s="11">
        <f t="shared" ref="J4:J16" si="0">MAX(0, D4-G4)</f>
        <v>0</v>
      </c>
      <c r="K4" s="11">
        <f t="shared" ref="K4:K16" si="1">MAX(0, E4-H4)</f>
        <v>0</v>
      </c>
      <c r="L4">
        <f>(J4+K4)*Parameters_Public!$C$34</f>
        <v>0</v>
      </c>
    </row>
    <row r="5" spans="1:12" x14ac:dyDescent="0.35">
      <c r="A5" t="str">
        <f>Scenarios!$A$4</f>
        <v>B3_StatusQuo_Targets</v>
      </c>
      <c r="B5">
        <f>INDEX(Scenarios!$D:$D, MATCH($A5, Scenarios!$A:$A, 0))</f>
        <v>0</v>
      </c>
      <c r="C5">
        <f>INDEX(Scenarios!$E:$E, MATCH($A5, Scenarios!$A:$A, 0))</f>
        <v>0</v>
      </c>
      <c r="D5" s="11">
        <f>INDEX(Scenarios!$D:$D, MATCH($A5, Scenarios!$A:$A, 0))*Parameters_Public!$C$23*Parameters_Public!$C$10*Parameters_Public!$C$38 + INDEX(Scenarios!$E:$E, MATCH($A5, Scenarios!$A:$A, 0))*Parameters_Public!$C$24*Parameters_Public!$C$11*Parameters_Public!$C$40</f>
        <v>0</v>
      </c>
      <c r="E5" s="11">
        <f>INDEX(Scenarios!$D:$D, MATCH($A5, Scenarios!$A:$A, 0))*Parameters_Public!$C$23*Parameters_Public!$C$10*Parameters_Public!$C$39 + INDEX(Scenarios!$E:$E, MATCH($A5, Scenarios!$A:$A, 0))*Parameters_Public!$C$24*Parameters_Public!$C$11*Parameters_Public!$C$41</f>
        <v>0</v>
      </c>
      <c r="G5">
        <f>Parameters_Public!$C$35</f>
        <v>300</v>
      </c>
      <c r="H5">
        <f>Parameters_Public!$C$36</f>
        <v>100</v>
      </c>
      <c r="J5" s="11">
        <f t="shared" si="0"/>
        <v>0</v>
      </c>
      <c r="K5" s="11">
        <f t="shared" si="1"/>
        <v>0</v>
      </c>
      <c r="L5">
        <f>(J5+K5)*Parameters_Public!$C$34</f>
        <v>0</v>
      </c>
    </row>
    <row r="6" spans="1:12" x14ac:dyDescent="0.35">
      <c r="A6" t="str">
        <f>Scenarios!$A$5</f>
        <v>C2_CoLocation_Echo_Targets</v>
      </c>
      <c r="B6">
        <f>INDEX(Scenarios!$D:$D, MATCH($A6, Scenarios!$A:$A, 0))</f>
        <v>0</v>
      </c>
      <c r="C6">
        <f>INDEX(Scenarios!$E:$E, MATCH($A6, Scenarios!$A:$A, 0))</f>
        <v>0</v>
      </c>
      <c r="D6" s="11">
        <f>INDEX(Scenarios!$D:$D, MATCH($A6, Scenarios!$A:$A, 0))*Parameters_Public!$C$23*Parameters_Public!$C$10*Parameters_Public!$C$38 + INDEX(Scenarios!$E:$E, MATCH($A6, Scenarios!$A:$A, 0))*Parameters_Public!$C$24*Parameters_Public!$C$11*Parameters_Public!$C$40</f>
        <v>0</v>
      </c>
      <c r="E6" s="11">
        <f>INDEX(Scenarios!$D:$D, MATCH($A6, Scenarios!$A:$A, 0))*Parameters_Public!$C$23*Parameters_Public!$C$10*Parameters_Public!$C$39 + INDEX(Scenarios!$E:$E, MATCH($A6, Scenarios!$A:$A, 0))*Parameters_Public!$C$24*Parameters_Public!$C$11*Parameters_Public!$C$41</f>
        <v>0</v>
      </c>
      <c r="G6">
        <f>Parameters_Public!$C$35</f>
        <v>300</v>
      </c>
      <c r="H6">
        <f>Parameters_Public!$C$36</f>
        <v>100</v>
      </c>
      <c r="J6" s="11">
        <f t="shared" si="0"/>
        <v>0</v>
      </c>
      <c r="K6" s="11">
        <f t="shared" si="1"/>
        <v>0</v>
      </c>
      <c r="L6">
        <f>(J6+K6)*Parameters_Public!$C$34</f>
        <v>0</v>
      </c>
    </row>
    <row r="7" spans="1:12" x14ac:dyDescent="0.35">
      <c r="A7" t="str">
        <f>Scenarios!$A$6</f>
        <v>C1_Grow_Both_Targets</v>
      </c>
      <c r="B7">
        <f>INDEX(Scenarios!$D:$D, MATCH($A7, Scenarios!$A:$A, 0))</f>
        <v>0</v>
      </c>
      <c r="C7">
        <f>INDEX(Scenarios!$E:$E, MATCH($A7, Scenarios!$A:$A, 0))</f>
        <v>0</v>
      </c>
      <c r="D7" s="11">
        <f>INDEX(Scenarios!$D:$D, MATCH($A7, Scenarios!$A:$A, 0))*Parameters_Public!$C$23*Parameters_Public!$C$10*Parameters_Public!$C$38 + INDEX(Scenarios!$E:$E, MATCH($A7, Scenarios!$A:$A, 0))*Parameters_Public!$C$24*Parameters_Public!$C$11*Parameters_Public!$C$40</f>
        <v>0</v>
      </c>
      <c r="E7" s="11">
        <f>INDEX(Scenarios!$D:$D, MATCH($A7, Scenarios!$A:$A, 0))*Parameters_Public!$C$23*Parameters_Public!$C$10*Parameters_Public!$C$39 + INDEX(Scenarios!$E:$E, MATCH($A7, Scenarios!$A:$A, 0))*Parameters_Public!$C$24*Parameters_Public!$C$11*Parameters_Public!$C$41</f>
        <v>0</v>
      </c>
      <c r="G7">
        <f>Parameters_Public!$C$35</f>
        <v>300</v>
      </c>
      <c r="H7">
        <f>Parameters_Public!$C$36</f>
        <v>100</v>
      </c>
      <c r="J7" s="11">
        <f t="shared" si="0"/>
        <v>0</v>
      </c>
      <c r="K7" s="11">
        <f t="shared" si="1"/>
        <v>0</v>
      </c>
      <c r="L7">
        <f>(J7+K7)*Parameters_Public!$C$34</f>
        <v>0</v>
      </c>
    </row>
    <row r="8" spans="1:12" x14ac:dyDescent="0.35">
      <c r="A8" t="str">
        <f>Scenarios!$A$7</f>
        <v>B2_StatusQuo_Steady</v>
      </c>
      <c r="B8">
        <f>INDEX(Scenarios!$D:$D, MATCH($A8, Scenarios!$A:$A, 0))</f>
        <v>0</v>
      </c>
      <c r="C8">
        <f>INDEX(Scenarios!$E:$E, MATCH($A8, Scenarios!$A:$A, 0))</f>
        <v>0</v>
      </c>
      <c r="D8" s="11">
        <f>INDEX(Scenarios!$D:$D, MATCH($A8, Scenarios!$A:$A, 0))*Parameters_Public!$C$23*Parameters_Public!$C$10*Parameters_Public!$C$38 + INDEX(Scenarios!$E:$E, MATCH($A8, Scenarios!$A:$A, 0))*Parameters_Public!$C$24*Parameters_Public!$C$11*Parameters_Public!$C$40</f>
        <v>0</v>
      </c>
      <c r="E8" s="11">
        <f>INDEX(Scenarios!$D:$D, MATCH($A8, Scenarios!$A:$A, 0))*Parameters_Public!$C$23*Parameters_Public!$C$10*Parameters_Public!$C$39 + INDEX(Scenarios!$E:$E, MATCH($A8, Scenarios!$A:$A, 0))*Parameters_Public!$C$24*Parameters_Public!$C$11*Parameters_Public!$C$41</f>
        <v>0</v>
      </c>
      <c r="G8">
        <f>Parameters_Public!$C$35</f>
        <v>300</v>
      </c>
      <c r="H8">
        <f>Parameters_Public!$C$36</f>
        <v>100</v>
      </c>
      <c r="J8" s="11">
        <f t="shared" si="0"/>
        <v>0</v>
      </c>
      <c r="K8" s="11">
        <f t="shared" si="1"/>
        <v>0</v>
      </c>
      <c r="L8">
        <f>(J8+K8)*Parameters_Public!$C$34</f>
        <v>0</v>
      </c>
    </row>
    <row r="9" spans="1:12" x14ac:dyDescent="0.35">
      <c r="A9" t="str">
        <f>Scenarios!$A$8</f>
        <v>D2_EchoGHubRamp_PimaTargets</v>
      </c>
      <c r="B9">
        <f>INDEX(Scenarios!$D:$D, MATCH($A9, Scenarios!$A:$A, 0))</f>
        <v>0</v>
      </c>
      <c r="C9">
        <f>INDEX(Scenarios!$E:$E, MATCH($A9, Scenarios!$A:$A, 0))</f>
        <v>0</v>
      </c>
      <c r="D9" s="11">
        <f>INDEX(Scenarios!$D:$D, MATCH($A9, Scenarios!$A:$A, 0))*Parameters_Public!$C$23*Parameters_Public!$C$10*Parameters_Public!$C$38 + INDEX(Scenarios!$E:$E, MATCH($A9, Scenarios!$A:$A, 0))*Parameters_Public!$C$24*Parameters_Public!$C$11*Parameters_Public!$C$40</f>
        <v>0</v>
      </c>
      <c r="E9" s="11">
        <f>INDEX(Scenarios!$D:$D, MATCH($A9, Scenarios!$A:$A, 0))*Parameters_Public!$C$23*Parameters_Public!$C$10*Parameters_Public!$C$39 + INDEX(Scenarios!$E:$E, MATCH($A9, Scenarios!$A:$A, 0))*Parameters_Public!$C$24*Parameters_Public!$C$11*Parameters_Public!$C$41</f>
        <v>0</v>
      </c>
      <c r="G9">
        <f>Parameters_Public!$C$35</f>
        <v>300</v>
      </c>
      <c r="H9">
        <f>Parameters_Public!$C$36</f>
        <v>100</v>
      </c>
      <c r="J9" s="11">
        <f t="shared" si="0"/>
        <v>0</v>
      </c>
      <c r="K9" s="11">
        <f t="shared" si="1"/>
        <v>0</v>
      </c>
      <c r="L9">
        <f>(J9+K9)*Parameters_Public!$C$34</f>
        <v>0</v>
      </c>
    </row>
    <row r="10" spans="1:12" x14ac:dyDescent="0.35">
      <c r="A10" t="str">
        <f>Scenarios!$A$9</f>
        <v>A1_Repurpose_Both_ops</v>
      </c>
      <c r="B10">
        <f>INDEX(Scenarios!$D:$D, MATCH($A10, Scenarios!$A:$A, 0))</f>
        <v>1</v>
      </c>
      <c r="C10">
        <f>INDEX(Scenarios!$E:$E, MATCH($A10, Scenarios!$A:$A, 0))</f>
        <v>1</v>
      </c>
      <c r="D10" s="11">
        <f>INDEX(Scenarios!$D:$D, MATCH($A10, Scenarios!$A:$A, 0))*Parameters_Public!$C$23*Parameters_Public!$C$10*Parameters_Public!$C$38 + INDEX(Scenarios!$E:$E, MATCH($A10, Scenarios!$A:$A, 0))*Parameters_Public!$C$24*Parameters_Public!$C$11*Parameters_Public!$C$40</f>
        <v>359.53999999999996</v>
      </c>
      <c r="E10" s="11">
        <f>INDEX(Scenarios!$D:$D, MATCH($A10, Scenarios!$A:$A, 0))*Parameters_Public!$C$23*Parameters_Public!$C$10*Parameters_Public!$C$39 + INDEX(Scenarios!$E:$E, MATCH($A10, Scenarios!$A:$A, 0))*Parameters_Public!$C$24*Parameters_Public!$C$11*Parameters_Public!$C$41</f>
        <v>46.26</v>
      </c>
      <c r="G10">
        <f>Parameters_Public!$C$35</f>
        <v>300</v>
      </c>
      <c r="H10">
        <f>Parameters_Public!$C$36</f>
        <v>100</v>
      </c>
      <c r="J10" s="11">
        <f t="shared" si="0"/>
        <v>59.539999999999964</v>
      </c>
      <c r="K10" s="11">
        <f t="shared" si="1"/>
        <v>0</v>
      </c>
      <c r="L10">
        <f>(J10+K10)*Parameters_Public!$C$34</f>
        <v>714479.99999999953</v>
      </c>
    </row>
    <row r="11" spans="1:12" x14ac:dyDescent="0.35">
      <c r="A11" t="str">
        <f>Scenarios!$A$10</f>
        <v>A2_Repurpose_Both_lease</v>
      </c>
      <c r="B11">
        <f>INDEX(Scenarios!$D:$D, MATCH($A11, Scenarios!$A:$A, 0))</f>
        <v>1</v>
      </c>
      <c r="C11">
        <f>INDEX(Scenarios!$E:$E, MATCH($A11, Scenarios!$A:$A, 0))</f>
        <v>1</v>
      </c>
      <c r="D11" s="11">
        <f>INDEX(Scenarios!$D:$D, MATCH($A11, Scenarios!$A:$A, 0))*Parameters_Public!$C$23*Parameters_Public!$C$10*Parameters_Public!$C$38 + INDEX(Scenarios!$E:$E, MATCH($A11, Scenarios!$A:$A, 0))*Parameters_Public!$C$24*Parameters_Public!$C$11*Parameters_Public!$C$40</f>
        <v>359.53999999999996</v>
      </c>
      <c r="E11" s="11">
        <f>INDEX(Scenarios!$D:$D, MATCH($A11, Scenarios!$A:$A, 0))*Parameters_Public!$C$23*Parameters_Public!$C$10*Parameters_Public!$C$39 + INDEX(Scenarios!$E:$E, MATCH($A11, Scenarios!$A:$A, 0))*Parameters_Public!$C$24*Parameters_Public!$C$11*Parameters_Public!$C$41</f>
        <v>46.26</v>
      </c>
      <c r="G11">
        <f>Parameters_Public!$C$35</f>
        <v>300</v>
      </c>
      <c r="H11">
        <f>Parameters_Public!$C$36</f>
        <v>100</v>
      </c>
      <c r="J11" s="11">
        <f t="shared" si="0"/>
        <v>59.539999999999964</v>
      </c>
      <c r="K11" s="11">
        <f t="shared" si="1"/>
        <v>0</v>
      </c>
      <c r="L11">
        <f>(J11+K11)*Parameters_Public!$C$34</f>
        <v>714479.99999999953</v>
      </c>
    </row>
    <row r="12" spans="1:12" x14ac:dyDescent="0.35">
      <c r="A12" t="str">
        <f>Scenarios!$A$11</f>
        <v>D2_Repurpose_Echo_lease_PimaTargets</v>
      </c>
      <c r="B12">
        <f>INDEX(Scenarios!$D:$D, MATCH($A12, Scenarios!$A:$A, 0))</f>
        <v>1</v>
      </c>
      <c r="C12">
        <f>INDEX(Scenarios!$E:$E, MATCH($A12, Scenarios!$A:$A, 0))</f>
        <v>0</v>
      </c>
      <c r="D12" s="11">
        <f>INDEX(Scenarios!$D:$D, MATCH($A12, Scenarios!$A:$A, 0))*Parameters_Public!$C$23*Parameters_Public!$C$10*Parameters_Public!$C$38 + INDEX(Scenarios!$E:$E, MATCH($A12, Scenarios!$A:$A, 0))*Parameters_Public!$C$24*Parameters_Public!$C$11*Parameters_Public!$C$40</f>
        <v>107.93999999999998</v>
      </c>
      <c r="E12" s="11">
        <f>INDEX(Scenarios!$D:$D, MATCH($A12, Scenarios!$A:$A, 0))*Parameters_Public!$C$23*Parameters_Public!$C$10*Parameters_Public!$C$39 + INDEX(Scenarios!$E:$E, MATCH($A12, Scenarios!$A:$A, 0))*Parameters_Public!$C$24*Parameters_Public!$C$11*Parameters_Public!$C$41</f>
        <v>46.26</v>
      </c>
      <c r="G12">
        <f>Parameters_Public!$C$35</f>
        <v>300</v>
      </c>
      <c r="H12">
        <f>Parameters_Public!$C$36</f>
        <v>100</v>
      </c>
      <c r="J12" s="11">
        <f t="shared" si="0"/>
        <v>0</v>
      </c>
      <c r="K12" s="11">
        <f t="shared" si="1"/>
        <v>0</v>
      </c>
      <c r="L12">
        <f>(J12+K12)*Parameters_Public!$C$34</f>
        <v>0</v>
      </c>
    </row>
    <row r="13" spans="1:12" x14ac:dyDescent="0.35">
      <c r="A13" t="str">
        <f>Scenarios!$A$12</f>
        <v>D1_Repurpose_Echo_ops_PimaTargets</v>
      </c>
      <c r="B13">
        <f>INDEX(Scenarios!$D:$D, MATCH($A13, Scenarios!$A:$A, 0))</f>
        <v>1</v>
      </c>
      <c r="C13">
        <f>INDEX(Scenarios!$E:$E, MATCH($A13, Scenarios!$A:$A, 0))</f>
        <v>0</v>
      </c>
      <c r="D13" s="11">
        <f>INDEX(Scenarios!$D:$D, MATCH($A13, Scenarios!$A:$A, 0))*Parameters_Public!$C$23*Parameters_Public!$C$10*Parameters_Public!$C$38 + INDEX(Scenarios!$E:$E, MATCH($A13, Scenarios!$A:$A, 0))*Parameters_Public!$C$24*Parameters_Public!$C$11*Parameters_Public!$C$40</f>
        <v>107.93999999999998</v>
      </c>
      <c r="E13" s="11">
        <f>INDEX(Scenarios!$D:$D, MATCH($A13, Scenarios!$A:$A, 0))*Parameters_Public!$C$23*Parameters_Public!$C$10*Parameters_Public!$C$39 + INDEX(Scenarios!$E:$E, MATCH($A13, Scenarios!$A:$A, 0))*Parameters_Public!$C$24*Parameters_Public!$C$11*Parameters_Public!$C$41</f>
        <v>46.26</v>
      </c>
      <c r="G13">
        <f>Parameters_Public!$C$35</f>
        <v>300</v>
      </c>
      <c r="H13">
        <f>Parameters_Public!$C$36</f>
        <v>100</v>
      </c>
      <c r="J13" s="11">
        <f t="shared" si="0"/>
        <v>0</v>
      </c>
      <c r="K13" s="11">
        <f t="shared" si="1"/>
        <v>0</v>
      </c>
      <c r="L13">
        <f>(J13+K13)*Parameters_Public!$C$34</f>
        <v>0</v>
      </c>
    </row>
    <row r="14" spans="1:12" x14ac:dyDescent="0.35">
      <c r="A14" t="str">
        <f>Scenarios!$A$13</f>
        <v>D2_Repurpose_Pima_lease_EchoGHub_EchoTargets</v>
      </c>
      <c r="B14">
        <f>INDEX(Scenarios!$D:$D, MATCH($A14, Scenarios!$A:$A, 0))</f>
        <v>0</v>
      </c>
      <c r="C14">
        <f>INDEX(Scenarios!$E:$E, MATCH($A14, Scenarios!$A:$A, 0))</f>
        <v>1</v>
      </c>
      <c r="D14" s="11">
        <f>INDEX(Scenarios!$D:$D, MATCH($A14, Scenarios!$A:$A, 0))*Parameters_Public!$C$23*Parameters_Public!$C$10*Parameters_Public!$C$38 + INDEX(Scenarios!$E:$E, MATCH($A14, Scenarios!$A:$A, 0))*Parameters_Public!$C$24*Parameters_Public!$C$11*Parameters_Public!$C$40</f>
        <v>251.6</v>
      </c>
      <c r="E14" s="11">
        <f>INDEX(Scenarios!$D:$D, MATCH($A14, Scenarios!$A:$A, 0))*Parameters_Public!$C$23*Parameters_Public!$C$10*Parameters_Public!$C$39 + INDEX(Scenarios!$E:$E, MATCH($A14, Scenarios!$A:$A, 0))*Parameters_Public!$C$24*Parameters_Public!$C$11*Parameters_Public!$C$41</f>
        <v>0</v>
      </c>
      <c r="G14">
        <f>Parameters_Public!$C$35</f>
        <v>300</v>
      </c>
      <c r="H14">
        <f>Parameters_Public!$C$36</f>
        <v>100</v>
      </c>
      <c r="J14" s="11">
        <f t="shared" si="0"/>
        <v>0</v>
      </c>
      <c r="K14" s="11">
        <f t="shared" si="1"/>
        <v>0</v>
      </c>
      <c r="L14">
        <f>(J14+K14)*Parameters_Public!$C$34</f>
        <v>0</v>
      </c>
    </row>
    <row r="15" spans="1:12" x14ac:dyDescent="0.35">
      <c r="A15" t="str">
        <f>Scenarios!$A$14</f>
        <v>D1_Repurpose_Pima_ops_EchoGHub_EchoTargets</v>
      </c>
      <c r="B15">
        <f>INDEX(Scenarios!$D:$D, MATCH($A15, Scenarios!$A:$A, 0))</f>
        <v>0</v>
      </c>
      <c r="C15">
        <f>INDEX(Scenarios!$E:$E, MATCH($A15, Scenarios!$A:$A, 0))</f>
        <v>1</v>
      </c>
      <c r="D15" s="11">
        <f>INDEX(Scenarios!$D:$D, MATCH($A15, Scenarios!$A:$A, 0))*Parameters_Public!$C$23*Parameters_Public!$C$10*Parameters_Public!$C$38 + INDEX(Scenarios!$E:$E, MATCH($A15, Scenarios!$A:$A, 0))*Parameters_Public!$C$24*Parameters_Public!$C$11*Parameters_Public!$C$40</f>
        <v>251.6</v>
      </c>
      <c r="E15" s="11">
        <f>INDEX(Scenarios!$D:$D, MATCH($A15, Scenarios!$A:$A, 0))*Parameters_Public!$C$23*Parameters_Public!$C$10*Parameters_Public!$C$39 + INDEX(Scenarios!$E:$E, MATCH($A15, Scenarios!$A:$A, 0))*Parameters_Public!$C$24*Parameters_Public!$C$11*Parameters_Public!$C$41</f>
        <v>0</v>
      </c>
      <c r="G15">
        <f>Parameters_Public!$C$35</f>
        <v>300</v>
      </c>
      <c r="H15">
        <f>Parameters_Public!$C$36</f>
        <v>100</v>
      </c>
      <c r="J15" s="11">
        <f t="shared" si="0"/>
        <v>0</v>
      </c>
      <c r="K15" s="11">
        <f t="shared" si="1"/>
        <v>0</v>
      </c>
      <c r="L15">
        <f>(J15+K15)*Parameters_Public!$C$34</f>
        <v>0</v>
      </c>
    </row>
    <row r="16" spans="1:12" x14ac:dyDescent="0.35">
      <c r="A16" t="str">
        <f>Scenarios!$A$15</f>
        <v>B1_StatusQuo_Decline</v>
      </c>
      <c r="B16">
        <f>INDEX(Scenarios!$D:$D, MATCH($A16, Scenarios!$A:$A, 0))</f>
        <v>0</v>
      </c>
      <c r="C16">
        <f>INDEX(Scenarios!$E:$E, MATCH($A16, Scenarios!$A:$A, 0))</f>
        <v>0</v>
      </c>
      <c r="D16" s="11">
        <f>INDEX(Scenarios!$D:$D, MATCH($A16, Scenarios!$A:$A, 0))*Parameters_Public!$C$23*Parameters_Public!$C$10*Parameters_Public!$C$38 + INDEX(Scenarios!$E:$E, MATCH($A16, Scenarios!$A:$A, 0))*Parameters_Public!$C$24*Parameters_Public!$C$11*Parameters_Public!$C$40</f>
        <v>0</v>
      </c>
      <c r="E16" s="11">
        <f>INDEX(Scenarios!$D:$D, MATCH($A16, Scenarios!$A:$A, 0))*Parameters_Public!$C$23*Parameters_Public!$C$10*Parameters_Public!$C$39 + INDEX(Scenarios!$E:$E, MATCH($A16, Scenarios!$A:$A, 0))*Parameters_Public!$C$24*Parameters_Public!$C$11*Parameters_Public!$C$41</f>
        <v>0</v>
      </c>
      <c r="G16">
        <f>Parameters_Public!$C$35</f>
        <v>300</v>
      </c>
      <c r="H16">
        <f>Parameters_Public!$C$36</f>
        <v>100</v>
      </c>
      <c r="J16" s="11">
        <f t="shared" si="0"/>
        <v>0</v>
      </c>
      <c r="K16" s="11">
        <f t="shared" si="1"/>
        <v>0</v>
      </c>
      <c r="L16">
        <f>(J16+K16)*Parameters_Public!$C$34</f>
        <v>0</v>
      </c>
    </row>
    <row r="18" spans="4:4" x14ac:dyDescent="0.35">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59"/>
  <sheetViews>
    <sheetView zoomScale="80" zoomScaleNormal="80" workbookViewId="0">
      <pane xSplit="2" ySplit="1" topLeftCell="C7" activePane="bottomRight" state="frozen"/>
      <selection pane="topRight"/>
      <selection pane="bottomLeft"/>
      <selection pane="bottomRight" activeCell="E22" sqref="E22"/>
    </sheetView>
  </sheetViews>
  <sheetFormatPr defaultRowHeight="14.5" x14ac:dyDescent="0.3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x14ac:dyDescent="0.35">
      <c r="A1" s="17" t="s">
        <v>706</v>
      </c>
    </row>
    <row r="3" spans="1:16" x14ac:dyDescent="0.35">
      <c r="A3" s="4" t="s">
        <v>707</v>
      </c>
      <c r="B3" s="7"/>
    </row>
    <row r="4" spans="1:16" x14ac:dyDescent="0.35">
      <c r="A4" s="4"/>
    </row>
    <row r="5" spans="1:16" x14ac:dyDescent="0.35">
      <c r="B5" s="6" t="s">
        <v>708</v>
      </c>
      <c r="C5" s="154" t="s">
        <v>709</v>
      </c>
      <c r="D5" s="155"/>
      <c r="E5" s="155"/>
      <c r="F5" s="155"/>
      <c r="G5" s="156"/>
      <c r="H5" s="6" t="s">
        <v>243</v>
      </c>
      <c r="J5" s="4"/>
      <c r="K5" s="4"/>
      <c r="L5" s="4"/>
      <c r="M5" s="4"/>
      <c r="N5" s="4"/>
      <c r="O5" s="4"/>
      <c r="P5" s="4"/>
    </row>
    <row r="6" spans="1:16" x14ac:dyDescent="0.35">
      <c r="B6" s="7" t="s">
        <v>710</v>
      </c>
      <c r="C6" s="14">
        <v>2.5000000000000001E-2</v>
      </c>
      <c r="D6" s="7"/>
      <c r="E6" s="7"/>
      <c r="F6" s="7"/>
      <c r="G6" s="7"/>
      <c r="H6" s="8" t="s">
        <v>711</v>
      </c>
    </row>
    <row r="7" spans="1:16" x14ac:dyDescent="0.35">
      <c r="B7" s="7" t="s">
        <v>712</v>
      </c>
      <c r="C7" s="14">
        <v>9936</v>
      </c>
      <c r="D7" s="7"/>
      <c r="E7" s="7"/>
      <c r="F7" s="7"/>
      <c r="G7" s="7"/>
      <c r="H7" s="8" t="s">
        <v>713</v>
      </c>
    </row>
    <row r="8" spans="1:16" x14ac:dyDescent="0.35">
      <c r="B8" s="7" t="s">
        <v>714</v>
      </c>
      <c r="C8" s="14">
        <v>0.46</v>
      </c>
      <c r="D8" s="7"/>
      <c r="E8" s="7"/>
      <c r="F8" s="7"/>
      <c r="G8" s="7"/>
      <c r="H8" s="8" t="s">
        <v>715</v>
      </c>
    </row>
    <row r="9" spans="1:16" x14ac:dyDescent="0.35">
      <c r="B9" s="7" t="s">
        <v>716</v>
      </c>
      <c r="C9" s="14">
        <v>5013</v>
      </c>
      <c r="D9" s="7"/>
      <c r="E9" s="7"/>
      <c r="F9" s="7"/>
      <c r="G9" s="7"/>
      <c r="H9" s="8" t="s">
        <v>717</v>
      </c>
    </row>
    <row r="10" spans="1:16" x14ac:dyDescent="0.35">
      <c r="B10" s="7" t="s">
        <v>718</v>
      </c>
      <c r="C10" s="14">
        <v>7.0000000000000001E-3</v>
      </c>
      <c r="D10" s="7"/>
      <c r="E10" s="7"/>
      <c r="F10" s="7"/>
      <c r="G10" s="7"/>
      <c r="H10" s="8" t="s">
        <v>719</v>
      </c>
    </row>
    <row r="11" spans="1:16" x14ac:dyDescent="0.35">
      <c r="B11" s="7" t="s">
        <v>720</v>
      </c>
      <c r="C11" s="14">
        <v>1.4999999999999999E-2</v>
      </c>
      <c r="D11" s="7"/>
      <c r="E11" s="7"/>
      <c r="F11" s="7"/>
      <c r="G11" s="7"/>
      <c r="H11" s="8" t="s">
        <v>721</v>
      </c>
    </row>
    <row r="12" spans="1:16" x14ac:dyDescent="0.35">
      <c r="B12" s="7" t="s">
        <v>722</v>
      </c>
      <c r="C12" s="14">
        <v>257</v>
      </c>
      <c r="D12" s="7"/>
      <c r="E12" s="7"/>
      <c r="F12" s="7"/>
      <c r="G12" s="7"/>
      <c r="H12" s="8" t="s">
        <v>723</v>
      </c>
    </row>
    <row r="13" spans="1:16" x14ac:dyDescent="0.35">
      <c r="B13" s="7" t="s">
        <v>724</v>
      </c>
      <c r="C13" s="14">
        <v>296</v>
      </c>
      <c r="D13" s="7"/>
      <c r="E13" s="7"/>
      <c r="F13" s="7"/>
      <c r="G13" s="7"/>
      <c r="H13" s="8" t="s">
        <v>725</v>
      </c>
    </row>
    <row r="14" spans="1:16" x14ac:dyDescent="0.35">
      <c r="B14" s="7" t="s">
        <v>726</v>
      </c>
      <c r="C14" s="7">
        <f>C12+C13</f>
        <v>553</v>
      </c>
      <c r="D14" s="7"/>
      <c r="E14" s="7"/>
      <c r="F14" s="7"/>
      <c r="G14" s="7"/>
      <c r="H14" s="8" t="s">
        <v>727</v>
      </c>
    </row>
    <row r="15" spans="1:16" x14ac:dyDescent="0.35">
      <c r="B15" s="7" t="s">
        <v>728</v>
      </c>
      <c r="C15" s="13">
        <v>1000000</v>
      </c>
      <c r="D15" s="7"/>
      <c r="E15" s="7"/>
      <c r="F15" s="7"/>
      <c r="G15" s="7"/>
      <c r="H15" s="8" t="s">
        <v>729</v>
      </c>
    </row>
    <row r="16" spans="1:16" x14ac:dyDescent="0.35">
      <c r="B16" s="7" t="s">
        <v>730</v>
      </c>
      <c r="C16" s="14">
        <v>0.75</v>
      </c>
      <c r="D16" s="7"/>
      <c r="E16" s="7"/>
      <c r="F16" s="7"/>
      <c r="G16" s="7"/>
      <c r="H16" s="8" t="s">
        <v>731</v>
      </c>
    </row>
    <row r="17" spans="1:8" x14ac:dyDescent="0.35">
      <c r="B17" s="7" t="s">
        <v>194</v>
      </c>
      <c r="C17" s="14">
        <f>Parameters_Public!$C41</f>
        <v>0</v>
      </c>
      <c r="D17" s="7"/>
      <c r="E17" s="7"/>
      <c r="F17" s="7"/>
      <c r="G17" s="7"/>
      <c r="H17" s="8" t="s">
        <v>732</v>
      </c>
    </row>
    <row r="18" spans="1:8" x14ac:dyDescent="0.35">
      <c r="B18" s="7"/>
      <c r="C18" s="7"/>
      <c r="D18" s="7"/>
      <c r="E18" s="7"/>
      <c r="F18" s="7"/>
      <c r="G18" s="7"/>
      <c r="H18" s="9"/>
    </row>
    <row r="19" spans="1:8" x14ac:dyDescent="0.35">
      <c r="A19" s="4" t="s">
        <v>733</v>
      </c>
      <c r="B19" s="7"/>
      <c r="C19" s="7"/>
      <c r="D19" s="7"/>
      <c r="E19" s="7"/>
      <c r="F19" s="7"/>
      <c r="G19" s="7"/>
      <c r="H19" s="9"/>
    </row>
    <row r="20" spans="1:8" x14ac:dyDescent="0.35">
      <c r="A20" s="4"/>
      <c r="B20" s="7"/>
      <c r="C20" s="7"/>
      <c r="D20" s="7"/>
      <c r="E20" s="7"/>
      <c r="F20" s="7"/>
      <c r="G20" s="7"/>
      <c r="H20" s="9"/>
    </row>
    <row r="21" spans="1:8" x14ac:dyDescent="0.35">
      <c r="B21" s="6" t="s">
        <v>184</v>
      </c>
      <c r="C21" s="6" t="s">
        <v>673</v>
      </c>
      <c r="D21" s="6" t="s">
        <v>734</v>
      </c>
      <c r="E21" s="6" t="s">
        <v>735</v>
      </c>
      <c r="F21" s="15"/>
      <c r="G21" s="15"/>
      <c r="H21" s="9"/>
    </row>
    <row r="22" spans="1:8" x14ac:dyDescent="0.35">
      <c r="B22" s="7" t="s">
        <v>187</v>
      </c>
      <c r="C22" s="14">
        <v>1000</v>
      </c>
      <c r="D22" s="14">
        <v>0.2</v>
      </c>
      <c r="E22" s="14">
        <v>0.75</v>
      </c>
      <c r="F22" s="7"/>
      <c r="G22" s="7"/>
      <c r="H22" s="8" t="s">
        <v>736</v>
      </c>
    </row>
    <row r="23" spans="1:8" x14ac:dyDescent="0.35">
      <c r="B23" s="7" t="s">
        <v>188</v>
      </c>
      <c r="C23" s="14">
        <v>800</v>
      </c>
      <c r="D23" s="14">
        <v>0.2</v>
      </c>
      <c r="E23" s="14">
        <v>0.7</v>
      </c>
      <c r="F23" s="7"/>
      <c r="G23" s="7"/>
      <c r="H23" s="8" t="s">
        <v>737</v>
      </c>
    </row>
    <row r="24" spans="1:8" x14ac:dyDescent="0.35">
      <c r="B24" s="7" t="s">
        <v>189</v>
      </c>
      <c r="C24" s="14">
        <v>600</v>
      </c>
      <c r="D24" s="14">
        <v>0.15</v>
      </c>
      <c r="E24" s="14">
        <v>0.65</v>
      </c>
      <c r="F24" s="7"/>
      <c r="G24" s="7"/>
      <c r="H24" s="8" t="s">
        <v>738</v>
      </c>
    </row>
    <row r="25" spans="1:8" x14ac:dyDescent="0.35">
      <c r="B25" s="7" t="s">
        <v>190</v>
      </c>
      <c r="C25" s="14">
        <v>500</v>
      </c>
      <c r="D25" s="14">
        <v>0.1</v>
      </c>
      <c r="E25" s="14">
        <v>0.6</v>
      </c>
      <c r="F25" s="7"/>
      <c r="G25" s="7"/>
      <c r="H25" s="9"/>
    </row>
    <row r="26" spans="1:8" x14ac:dyDescent="0.35">
      <c r="B26" s="7" t="s">
        <v>102</v>
      </c>
      <c r="C26" s="14">
        <v>300</v>
      </c>
      <c r="D26" s="14">
        <v>0.1</v>
      </c>
      <c r="E26" s="14">
        <v>0.6</v>
      </c>
      <c r="F26" s="7"/>
      <c r="G26" s="7"/>
      <c r="H26" s="9"/>
    </row>
    <row r="27" spans="1:8" x14ac:dyDescent="0.35">
      <c r="B27" s="7"/>
      <c r="C27" s="7"/>
      <c r="D27" s="7"/>
      <c r="E27" s="7"/>
      <c r="F27" s="7"/>
      <c r="G27" s="7"/>
      <c r="H27" s="9"/>
    </row>
    <row r="28" spans="1:8" x14ac:dyDescent="0.35">
      <c r="A28" s="4" t="s">
        <v>739</v>
      </c>
      <c r="B28" s="7"/>
      <c r="C28" s="7"/>
      <c r="D28" s="7"/>
      <c r="E28" s="7"/>
      <c r="F28" s="7"/>
      <c r="G28" s="7"/>
      <c r="H28" s="9"/>
    </row>
    <row r="29" spans="1:8" x14ac:dyDescent="0.35">
      <c r="A29" s="4"/>
      <c r="B29" s="7"/>
      <c r="C29" s="7"/>
      <c r="D29" s="7"/>
      <c r="E29" s="7"/>
      <c r="F29" s="7"/>
      <c r="G29" s="7"/>
      <c r="H29" s="9"/>
    </row>
    <row r="30" spans="1:8" x14ac:dyDescent="0.35">
      <c r="A30" s="10" t="s">
        <v>740</v>
      </c>
      <c r="B30" s="6" t="s">
        <v>741</v>
      </c>
      <c r="C30" s="6" t="s">
        <v>742</v>
      </c>
      <c r="D30" s="6" t="s">
        <v>743</v>
      </c>
      <c r="E30" s="6" t="s">
        <v>744</v>
      </c>
      <c r="F30" s="6" t="s">
        <v>745</v>
      </c>
      <c r="G30" s="6" t="s">
        <v>746</v>
      </c>
      <c r="H30" s="9"/>
    </row>
    <row r="31" spans="1:8" x14ac:dyDescent="0.35">
      <c r="A31" s="10" t="s">
        <v>747</v>
      </c>
      <c r="B31" s="7" t="s">
        <v>618</v>
      </c>
      <c r="C31" s="14">
        <v>0</v>
      </c>
      <c r="D31" s="14">
        <v>0</v>
      </c>
      <c r="E31" s="14">
        <v>0</v>
      </c>
      <c r="F31" s="14">
        <v>0.5</v>
      </c>
      <c r="G31" s="14">
        <v>0</v>
      </c>
      <c r="H31" s="9"/>
    </row>
    <row r="32" spans="1:8" x14ac:dyDescent="0.35">
      <c r="A32" s="10" t="s">
        <v>748</v>
      </c>
      <c r="B32" s="9" t="s">
        <v>622</v>
      </c>
      <c r="C32" s="14">
        <v>75</v>
      </c>
      <c r="D32" s="14">
        <v>0</v>
      </c>
      <c r="E32" s="14">
        <v>0</v>
      </c>
      <c r="F32" s="14">
        <v>0.5</v>
      </c>
      <c r="G32" s="14">
        <v>0</v>
      </c>
      <c r="H32" s="7" t="s">
        <v>749</v>
      </c>
    </row>
    <row r="33" spans="1:8" x14ac:dyDescent="0.35">
      <c r="A33" s="10" t="s">
        <v>750</v>
      </c>
      <c r="B33" s="9" t="s">
        <v>625</v>
      </c>
      <c r="C33" s="14">
        <v>50</v>
      </c>
      <c r="D33" s="14">
        <v>0</v>
      </c>
      <c r="E33" s="14">
        <v>0</v>
      </c>
      <c r="F33" s="14">
        <v>0.5</v>
      </c>
      <c r="G33" s="14">
        <v>0.05</v>
      </c>
      <c r="H33" s="7" t="s">
        <v>751</v>
      </c>
    </row>
    <row r="34" spans="1:8" x14ac:dyDescent="0.35">
      <c r="A34" s="10" t="s">
        <v>752</v>
      </c>
      <c r="B34" s="9" t="s">
        <v>628</v>
      </c>
      <c r="C34" s="14">
        <v>150</v>
      </c>
      <c r="D34" s="14">
        <v>0</v>
      </c>
      <c r="E34" s="14">
        <v>0</v>
      </c>
      <c r="F34" s="14">
        <v>0.5</v>
      </c>
      <c r="G34" s="14">
        <v>0</v>
      </c>
      <c r="H34" s="7" t="s">
        <v>753</v>
      </c>
    </row>
    <row r="35" spans="1:8" x14ac:dyDescent="0.35">
      <c r="A35" s="10" t="s">
        <v>754</v>
      </c>
      <c r="B35" s="9" t="s">
        <v>633</v>
      </c>
      <c r="C35" s="14">
        <v>0</v>
      </c>
      <c r="D35" s="14">
        <v>0</v>
      </c>
      <c r="E35" s="14">
        <v>0</v>
      </c>
      <c r="F35" s="14">
        <v>0.5</v>
      </c>
      <c r="G35" s="14">
        <v>0</v>
      </c>
      <c r="H35" s="7" t="s">
        <v>755</v>
      </c>
    </row>
    <row r="36" spans="1:8" x14ac:dyDescent="0.35">
      <c r="A36" s="10" t="s">
        <v>756</v>
      </c>
      <c r="B36" s="9" t="s">
        <v>757</v>
      </c>
      <c r="C36" s="14">
        <v>125</v>
      </c>
      <c r="D36" s="14">
        <v>0</v>
      </c>
      <c r="E36" s="14">
        <v>0</v>
      </c>
      <c r="F36" s="14">
        <v>0.7</v>
      </c>
      <c r="G36" s="14">
        <v>0</v>
      </c>
      <c r="H36" s="7" t="s">
        <v>758</v>
      </c>
    </row>
    <row r="37" spans="1:8" x14ac:dyDescent="0.35">
      <c r="A37" s="10" t="s">
        <v>759</v>
      </c>
      <c r="B37" s="7" t="s">
        <v>642</v>
      </c>
      <c r="C37" s="14">
        <v>0</v>
      </c>
      <c r="D37" s="14">
        <v>1</v>
      </c>
      <c r="E37" s="14">
        <v>1</v>
      </c>
      <c r="F37" s="14">
        <v>0.5</v>
      </c>
      <c r="G37" s="14">
        <v>0</v>
      </c>
      <c r="H37" s="7" t="s">
        <v>760</v>
      </c>
    </row>
    <row r="38" spans="1:8" x14ac:dyDescent="0.35">
      <c r="A38" s="10" t="s">
        <v>761</v>
      </c>
      <c r="B38" s="7" t="s">
        <v>639</v>
      </c>
      <c r="C38" s="14">
        <v>0</v>
      </c>
      <c r="D38" s="14">
        <v>1</v>
      </c>
      <c r="E38" s="14">
        <v>1</v>
      </c>
      <c r="F38" s="14">
        <v>0.5</v>
      </c>
      <c r="G38" s="14">
        <v>0</v>
      </c>
      <c r="H38" s="7" t="s">
        <v>762</v>
      </c>
    </row>
    <row r="39" spans="1:8" x14ac:dyDescent="0.35">
      <c r="A39" s="10" t="s">
        <v>763</v>
      </c>
      <c r="B39" s="7" t="s">
        <v>764</v>
      </c>
      <c r="C39" s="14">
        <v>0</v>
      </c>
      <c r="D39" s="14">
        <v>1</v>
      </c>
      <c r="E39" s="14">
        <v>0</v>
      </c>
      <c r="F39" s="14">
        <v>0</v>
      </c>
      <c r="G39" s="14">
        <v>0</v>
      </c>
      <c r="H39" s="7" t="s">
        <v>764</v>
      </c>
    </row>
    <row r="40" spans="1:8" x14ac:dyDescent="0.35">
      <c r="A40" s="10" t="s">
        <v>765</v>
      </c>
      <c r="B40" s="7" t="s">
        <v>766</v>
      </c>
      <c r="C40" s="14">
        <v>37</v>
      </c>
      <c r="D40" s="14">
        <v>1</v>
      </c>
      <c r="E40" s="14">
        <v>0</v>
      </c>
      <c r="F40" s="14">
        <v>0</v>
      </c>
      <c r="G40" s="14">
        <v>0</v>
      </c>
      <c r="H40" s="7" t="s">
        <v>766</v>
      </c>
    </row>
    <row r="41" spans="1:8" x14ac:dyDescent="0.35">
      <c r="A41" s="10" t="s">
        <v>767</v>
      </c>
      <c r="B41" s="7" t="s">
        <v>652</v>
      </c>
      <c r="C41" s="14">
        <v>0</v>
      </c>
      <c r="D41" s="14">
        <v>0</v>
      </c>
      <c r="E41" s="14">
        <v>1</v>
      </c>
      <c r="F41" s="14">
        <v>1</v>
      </c>
      <c r="G41" s="14">
        <v>0</v>
      </c>
      <c r="H41" s="7" t="s">
        <v>652</v>
      </c>
    </row>
    <row r="42" spans="1:8" x14ac:dyDescent="0.35">
      <c r="A42" s="10" t="s">
        <v>768</v>
      </c>
      <c r="B42" s="7" t="s">
        <v>655</v>
      </c>
      <c r="C42" s="14">
        <v>50</v>
      </c>
      <c r="D42" s="14">
        <v>0</v>
      </c>
      <c r="E42" s="14">
        <v>1</v>
      </c>
      <c r="F42" s="14">
        <v>1</v>
      </c>
      <c r="G42" s="14">
        <v>0</v>
      </c>
      <c r="H42" s="7" t="s">
        <v>655</v>
      </c>
    </row>
    <row r="43" spans="1:8" x14ac:dyDescent="0.35">
      <c r="B43" s="7"/>
      <c r="C43" s="7"/>
      <c r="D43" s="7"/>
      <c r="E43" s="7"/>
      <c r="F43" s="7"/>
      <c r="G43" s="7"/>
    </row>
    <row r="44" spans="1:8" x14ac:dyDescent="0.35">
      <c r="A44" s="4" t="s">
        <v>769</v>
      </c>
      <c r="B44" s="7"/>
      <c r="C44" s="7"/>
      <c r="D44" s="7"/>
      <c r="E44" s="7"/>
      <c r="F44" s="7"/>
      <c r="G44" s="7"/>
    </row>
    <row r="45" spans="1:8" x14ac:dyDescent="0.35">
      <c r="B45" s="7"/>
      <c r="C45" s="7"/>
      <c r="D45" s="7"/>
      <c r="E45" s="7"/>
      <c r="F45" s="7"/>
      <c r="G45" s="7"/>
    </row>
    <row r="46" spans="1:8" x14ac:dyDescent="0.35">
      <c r="B46" s="6" t="s">
        <v>741</v>
      </c>
      <c r="C46" s="6" t="s">
        <v>770</v>
      </c>
      <c r="D46" s="6" t="s">
        <v>771</v>
      </c>
      <c r="E46" s="7"/>
      <c r="F46" s="7"/>
      <c r="G46" s="7"/>
      <c r="H46" s="9" t="s">
        <v>772</v>
      </c>
    </row>
    <row r="47" spans="1:8" x14ac:dyDescent="0.35">
      <c r="B47" s="7" t="s">
        <v>773</v>
      </c>
      <c r="C47" s="14" t="s">
        <v>774</v>
      </c>
      <c r="D47" s="14" t="s">
        <v>775</v>
      </c>
      <c r="E47" s="7"/>
      <c r="F47" s="7"/>
      <c r="G47" s="7"/>
      <c r="H47" s="9"/>
    </row>
    <row r="48" spans="1:8" x14ac:dyDescent="0.35">
      <c r="B48" s="7" t="s">
        <v>749</v>
      </c>
      <c r="C48" s="14" t="s">
        <v>776</v>
      </c>
      <c r="D48" s="14" t="s">
        <v>777</v>
      </c>
      <c r="E48" s="7"/>
      <c r="F48" s="7"/>
      <c r="G48" s="7"/>
      <c r="H48" s="9"/>
    </row>
    <row r="49" spans="2:8" x14ac:dyDescent="0.35">
      <c r="B49" s="7" t="s">
        <v>751</v>
      </c>
      <c r="C49" s="16" t="s">
        <v>778</v>
      </c>
      <c r="D49" s="14" t="s">
        <v>775</v>
      </c>
      <c r="E49" s="7"/>
      <c r="F49" s="7"/>
      <c r="G49" s="7"/>
      <c r="H49" s="9"/>
    </row>
    <row r="50" spans="2:8" x14ac:dyDescent="0.35">
      <c r="B50" s="7" t="s">
        <v>753</v>
      </c>
      <c r="C50" s="16" t="s">
        <v>778</v>
      </c>
      <c r="D50" s="14" t="s">
        <v>775</v>
      </c>
      <c r="E50" s="7"/>
      <c r="F50" s="7"/>
      <c r="G50" s="7"/>
      <c r="H50" s="9"/>
    </row>
    <row r="51" spans="2:8" x14ac:dyDescent="0.35">
      <c r="B51" s="7" t="s">
        <v>779</v>
      </c>
      <c r="C51" s="14" t="s">
        <v>774</v>
      </c>
      <c r="D51" s="14" t="s">
        <v>775</v>
      </c>
      <c r="E51" s="7"/>
      <c r="F51" s="7"/>
      <c r="G51" s="7"/>
      <c r="H51" s="9"/>
    </row>
    <row r="52" spans="2:8" x14ac:dyDescent="0.35">
      <c r="B52" s="7" t="s">
        <v>758</v>
      </c>
      <c r="C52" s="16" t="s">
        <v>778</v>
      </c>
      <c r="D52" s="14" t="s">
        <v>775</v>
      </c>
      <c r="E52" s="7"/>
      <c r="F52" s="7"/>
      <c r="G52" s="7"/>
      <c r="H52" s="9"/>
    </row>
    <row r="53" spans="2:8" x14ac:dyDescent="0.35">
      <c r="B53" s="7" t="s">
        <v>760</v>
      </c>
      <c r="C53" s="16" t="s">
        <v>780</v>
      </c>
      <c r="D53" s="14" t="s">
        <v>781</v>
      </c>
      <c r="E53" s="7"/>
      <c r="F53" s="7"/>
      <c r="G53" s="7"/>
      <c r="H53" s="9"/>
    </row>
    <row r="54" spans="2:8" x14ac:dyDescent="0.35">
      <c r="B54" s="7" t="s">
        <v>762</v>
      </c>
      <c r="C54" s="16" t="s">
        <v>782</v>
      </c>
      <c r="D54" s="14" t="s">
        <v>783</v>
      </c>
      <c r="E54" s="7"/>
      <c r="F54" s="7"/>
      <c r="G54" s="7"/>
      <c r="H54" s="9"/>
    </row>
    <row r="55" spans="2:8" x14ac:dyDescent="0.35">
      <c r="B55" s="7" t="s">
        <v>764</v>
      </c>
      <c r="C55" s="16" t="s">
        <v>782</v>
      </c>
      <c r="D55" s="14" t="s">
        <v>783</v>
      </c>
      <c r="E55" s="7"/>
      <c r="F55" s="7"/>
      <c r="G55" s="7"/>
      <c r="H55" s="9"/>
    </row>
    <row r="56" spans="2:8" x14ac:dyDescent="0.35">
      <c r="B56" s="7" t="s">
        <v>766</v>
      </c>
      <c r="C56" s="14" t="s">
        <v>776</v>
      </c>
      <c r="D56" s="14" t="s">
        <v>783</v>
      </c>
      <c r="E56" s="7"/>
      <c r="F56" s="7"/>
      <c r="G56" s="7"/>
      <c r="H56" s="9"/>
    </row>
    <row r="57" spans="2:8" x14ac:dyDescent="0.35">
      <c r="B57" s="7" t="s">
        <v>652</v>
      </c>
      <c r="C57" s="16" t="s">
        <v>782</v>
      </c>
      <c r="D57" s="14" t="s">
        <v>783</v>
      </c>
      <c r="E57" s="7"/>
      <c r="F57" s="7"/>
      <c r="G57" s="7"/>
      <c r="H57" s="9"/>
    </row>
    <row r="58" spans="2:8" x14ac:dyDescent="0.35">
      <c r="B58" s="7" t="s">
        <v>655</v>
      </c>
      <c r="C58" s="14" t="s">
        <v>776</v>
      </c>
      <c r="D58" s="14" t="s">
        <v>783</v>
      </c>
      <c r="E58" s="7"/>
      <c r="F58" s="7"/>
      <c r="G58" s="7"/>
      <c r="H58" s="9"/>
    </row>
    <row r="59" spans="2:8" x14ac:dyDescent="0.35">
      <c r="H59" s="9"/>
    </row>
  </sheetData>
  <mergeCells count="1">
    <mergeCell ref="C5:G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28"/>
  <sheetViews>
    <sheetView zoomScale="85" zoomScaleNormal="85" workbookViewId="0">
      <pane ySplit="1" topLeftCell="A8" activePane="bottomLeft" state="frozen"/>
      <selection activeCell="B2" sqref="B2"/>
      <selection pane="bottomLeft" activeCell="B22" sqref="B22"/>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708</v>
      </c>
      <c r="B1" s="1" t="s">
        <v>709</v>
      </c>
      <c r="C1" s="1" t="s">
        <v>243</v>
      </c>
    </row>
    <row r="2" spans="1:11" x14ac:dyDescent="0.35">
      <c r="A2" t="s">
        <v>710</v>
      </c>
      <c r="B2">
        <f>Control_Center!C6</f>
        <v>2.5000000000000001E-2</v>
      </c>
      <c r="C2" t="s">
        <v>711</v>
      </c>
    </row>
    <row r="3" spans="1:11" x14ac:dyDescent="0.35">
      <c r="A3" t="s">
        <v>712</v>
      </c>
      <c r="B3">
        <f>Parameters_Public!$C$14</f>
        <v>11589</v>
      </c>
      <c r="C3" t="s">
        <v>784</v>
      </c>
    </row>
    <row r="4" spans="1:11" x14ac:dyDescent="0.35">
      <c r="A4" t="s">
        <v>714</v>
      </c>
      <c r="B4">
        <f>Control_Center!C8</f>
        <v>0.46</v>
      </c>
      <c r="C4" t="s">
        <v>785</v>
      </c>
    </row>
    <row r="5" spans="1:11" x14ac:dyDescent="0.35">
      <c r="A5" s="92" t="s">
        <v>718</v>
      </c>
      <c r="B5" s="92">
        <f>Control_Center!C10</f>
        <v>7.0000000000000001E-3</v>
      </c>
      <c r="C5" s="92" t="s">
        <v>786</v>
      </c>
    </row>
    <row r="6" spans="1:11" x14ac:dyDescent="0.35">
      <c r="A6" s="92" t="s">
        <v>720</v>
      </c>
      <c r="B6" s="92">
        <f>Control_Center!C11</f>
        <v>1.4999999999999999E-2</v>
      </c>
      <c r="C6" s="92" t="s">
        <v>721</v>
      </c>
    </row>
    <row r="7" spans="1:11" x14ac:dyDescent="0.35">
      <c r="A7" t="s">
        <v>722</v>
      </c>
      <c r="B7">
        <f>Parameters_Public!$C$10</f>
        <v>257</v>
      </c>
    </row>
    <row r="8" spans="1:11" x14ac:dyDescent="0.35">
      <c r="A8" t="s">
        <v>724</v>
      </c>
      <c r="B8">
        <f>Parameters_Public!$C$11</f>
        <v>296</v>
      </c>
    </row>
    <row r="9" spans="1:11" x14ac:dyDescent="0.35">
      <c r="A9" t="s">
        <v>726</v>
      </c>
      <c r="B9">
        <f>B7+B8</f>
        <v>553</v>
      </c>
      <c r="C9" t="s">
        <v>727</v>
      </c>
    </row>
    <row r="12" spans="1:11" x14ac:dyDescent="0.35">
      <c r="A12" s="1" t="s">
        <v>787</v>
      </c>
      <c r="B12" s="1" t="s">
        <v>788</v>
      </c>
      <c r="C12" s="1" t="s">
        <v>789</v>
      </c>
      <c r="D12" s="1" t="s">
        <v>790</v>
      </c>
      <c r="E12" s="1" t="s">
        <v>791</v>
      </c>
      <c r="F12" s="1" t="s">
        <v>792</v>
      </c>
      <c r="G12" s="1" t="s">
        <v>243</v>
      </c>
    </row>
    <row r="13" spans="1:11" x14ac:dyDescent="0.35">
      <c r="A13" t="s">
        <v>793</v>
      </c>
      <c r="B13" s="2">
        <f>B9*B3</f>
        <v>6408717</v>
      </c>
      <c r="C13" s="2">
        <f>C14/$B$4</f>
        <v>4177989.1304347818</v>
      </c>
      <c r="D13" s="2">
        <f>D14/$B$4</f>
        <v>4282438.8586956514</v>
      </c>
      <c r="E13" s="2">
        <f>E14/$B$4</f>
        <v>4389499.830163043</v>
      </c>
      <c r="F13" s="2">
        <f>F14/$B$4</f>
        <v>4499237.3259171182</v>
      </c>
      <c r="G13" t="s">
        <v>794</v>
      </c>
      <c r="K13" t="s">
        <v>795</v>
      </c>
    </row>
    <row r="14" spans="1:11" x14ac:dyDescent="0.35">
      <c r="A14" t="s">
        <v>796</v>
      </c>
      <c r="B14" s="2">
        <f>IF((Site_Fixed!$D$10+Site_Fixed!$D$17)&gt;0, Site_Fixed!$D$10+Site_Fixed!$D$17, B13*B4)</f>
        <v>1875000</v>
      </c>
      <c r="C14" s="2">
        <f t="shared" ref="C14:F15" si="0">B17</f>
        <v>1921874.9999999998</v>
      </c>
      <c r="D14" s="2">
        <f t="shared" si="0"/>
        <v>1969921.8749999998</v>
      </c>
      <c r="E14" s="2">
        <f t="shared" si="0"/>
        <v>2019169.9218749998</v>
      </c>
      <c r="F14" s="2">
        <f t="shared" si="0"/>
        <v>2069649.1699218745</v>
      </c>
      <c r="G14" t="s">
        <v>797</v>
      </c>
      <c r="K14" t="s">
        <v>798</v>
      </c>
    </row>
    <row r="15" spans="1:11" x14ac:dyDescent="0.35">
      <c r="A15" t="s">
        <v>799</v>
      </c>
      <c r="B15" s="2">
        <f>(B13-B14)/B9</f>
        <v>8198.4032549728745</v>
      </c>
      <c r="C15" s="2">
        <f t="shared" si="0"/>
        <v>8403.3633363471963</v>
      </c>
      <c r="D15" s="2">
        <f t="shared" si="0"/>
        <v>8613.4474197558757</v>
      </c>
      <c r="E15" s="2">
        <f t="shared" si="0"/>
        <v>8828.7836052497714</v>
      </c>
      <c r="F15" s="2">
        <f t="shared" si="0"/>
        <v>9049.5031953810158</v>
      </c>
      <c r="G15" t="s">
        <v>800</v>
      </c>
      <c r="K15" t="s">
        <v>801</v>
      </c>
    </row>
    <row r="17" spans="1:6" x14ac:dyDescent="0.35">
      <c r="A17" t="s">
        <v>802</v>
      </c>
      <c r="B17" s="2">
        <f>$B$14*(1+$B$2)^1</f>
        <v>1921874.9999999998</v>
      </c>
      <c r="C17" s="2">
        <f>$B$14*(1+$B$2)^2</f>
        <v>1969921.8749999998</v>
      </c>
      <c r="D17" s="2">
        <f>$B$14*(1+$B$2)^3</f>
        <v>2019169.9218749998</v>
      </c>
      <c r="E17" s="2">
        <f>$B$14*(1+$B$2)^4</f>
        <v>2069649.1699218745</v>
      </c>
      <c r="F17" s="2">
        <f>$B$14*(1+$B$2)^5</f>
        <v>2121390.3991699214</v>
      </c>
    </row>
    <row r="18" spans="1:6" x14ac:dyDescent="0.35">
      <c r="A18" t="s">
        <v>803</v>
      </c>
      <c r="B18" s="2">
        <f>$B$15*(1+$B$2)^1</f>
        <v>8403.3633363471963</v>
      </c>
      <c r="C18" s="2">
        <f>$B$15*(1+$B$2)^2</f>
        <v>8613.4474197558757</v>
      </c>
      <c r="D18" s="2">
        <f>$B$15*(1+$B$2)^3</f>
        <v>8828.7836052497714</v>
      </c>
      <c r="E18" s="2">
        <f>$B$15*(1+$B$2)^4</f>
        <v>9049.5031953810158</v>
      </c>
      <c r="F18" s="2">
        <f>$B$15*(1+$B$2)^5</f>
        <v>9275.7407752655399</v>
      </c>
    </row>
    <row r="19" spans="1:6" x14ac:dyDescent="0.35">
      <c r="A19" t="s">
        <v>804</v>
      </c>
      <c r="B19" s="2">
        <f>IF(Site_Fixed!$D$10&gt;0, Site_Fixed!$D$10*(1+$B$2)^1, B17*($B$7/$B$9))</f>
        <v>922499.99999999988</v>
      </c>
      <c r="C19" s="2">
        <f>C17*($B$7/$B$9)</f>
        <v>915497.14624773955</v>
      </c>
      <c r="D19" s="2">
        <f>D17*($B$7/$B$9)</f>
        <v>938384.57490393298</v>
      </c>
      <c r="E19" s="2">
        <f>E17*($B$7/$B$9)</f>
        <v>961844.18927653122</v>
      </c>
      <c r="F19" s="2">
        <f>F17*($B$7/$B$9)</f>
        <v>985890.29400844453</v>
      </c>
    </row>
    <row r="20" spans="1:6" x14ac:dyDescent="0.35">
      <c r="A20" t="s">
        <v>805</v>
      </c>
      <c r="B20" s="2">
        <f>IF(Site_Fixed!$D$17&gt;0, Site_Fixed!$D$17*(1+$B$2)^1, B17*($B$8/$B$9))</f>
        <v>999374.99999999988</v>
      </c>
      <c r="C20" s="2">
        <f>C17*($B$8/$B$9)</f>
        <v>1054424.7287522603</v>
      </c>
      <c r="D20" s="2">
        <f>D17*($B$8/$B$9)</f>
        <v>1080785.3469710669</v>
      </c>
      <c r="E20" s="2">
        <f>E17*($B$8/$B$9)</f>
        <v>1107804.9806453434</v>
      </c>
      <c r="F20" s="2">
        <f>F17*($B$8/$B$9)</f>
        <v>1135500.1051614769</v>
      </c>
    </row>
    <row r="21" spans="1:6" x14ac:dyDescent="0.35">
      <c r="B21" s="2"/>
      <c r="C21" s="2"/>
      <c r="D21" s="2"/>
      <c r="E21" s="2"/>
      <c r="F21" s="2"/>
    </row>
    <row r="22" spans="1:6" x14ac:dyDescent="0.35">
      <c r="A22" t="s">
        <v>728</v>
      </c>
      <c r="B22">
        <f>Control_Center!C15</f>
        <v>1000000</v>
      </c>
    </row>
    <row r="23" spans="1:6" x14ac:dyDescent="0.35">
      <c r="A23" t="s">
        <v>806</v>
      </c>
      <c r="B23">
        <f>Control_Center!C16</f>
        <v>0.75</v>
      </c>
    </row>
    <row r="25" spans="1:6" x14ac:dyDescent="0.35">
      <c r="A25" s="1" t="s">
        <v>243</v>
      </c>
    </row>
    <row r="26" spans="1:6" x14ac:dyDescent="0.35">
      <c r="A26" s="3" t="s">
        <v>807</v>
      </c>
    </row>
    <row r="27" spans="1:6" x14ac:dyDescent="0.35">
      <c r="A27" t="s">
        <v>716</v>
      </c>
      <c r="B27">
        <f>Parameters_Public!$C18</f>
        <v>5013</v>
      </c>
      <c r="C27" t="s">
        <v>717</v>
      </c>
    </row>
    <row r="28" spans="1:6" x14ac:dyDescent="0.35">
      <c r="A28" t="s">
        <v>808</v>
      </c>
      <c r="B28">
        <f>Parameters_Public!$C22</f>
        <v>2.5000000000000001E-2</v>
      </c>
      <c r="C28" t="s">
        <v>809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6"/>
  <sheetViews>
    <sheetView zoomScale="80" zoomScaleNormal="80" workbookViewId="0">
      <selection activeCell="F3" sqref="F3"/>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 min="15" max="15" width="17.36328125" bestFit="1" customWidth="1"/>
    <col min="16" max="16" width="14.7265625" bestFit="1" customWidth="1"/>
    <col min="17" max="17" width="25.6328125" bestFit="1" customWidth="1"/>
    <col min="18" max="18" width="19" bestFit="1" customWidth="1"/>
  </cols>
  <sheetData>
    <row r="1" spans="1:18" x14ac:dyDescent="0.35">
      <c r="A1" s="1" t="s">
        <v>184</v>
      </c>
      <c r="B1" s="1" t="s">
        <v>663</v>
      </c>
      <c r="C1" s="1" t="s">
        <v>664</v>
      </c>
      <c r="D1" s="1" t="s">
        <v>665</v>
      </c>
      <c r="E1" s="1" t="s">
        <v>673</v>
      </c>
      <c r="F1" s="1" t="s">
        <v>734</v>
      </c>
      <c r="G1" s="1" t="s">
        <v>735</v>
      </c>
      <c r="H1" s="1" t="s">
        <v>810</v>
      </c>
      <c r="I1" s="1" t="s">
        <v>811</v>
      </c>
      <c r="L1" s="1" t="s">
        <v>812</v>
      </c>
      <c r="M1" s="1" t="s">
        <v>813</v>
      </c>
      <c r="N1" s="1" t="s">
        <v>814</v>
      </c>
      <c r="O1" t="s">
        <v>815</v>
      </c>
      <c r="P1" t="s">
        <v>816</v>
      </c>
      <c r="Q1" t="s">
        <v>817</v>
      </c>
      <c r="R1" t="s">
        <v>818</v>
      </c>
    </row>
    <row r="2" spans="1:18" x14ac:dyDescent="0.35">
      <c r="A2" t="s">
        <v>187</v>
      </c>
      <c r="B2" s="2">
        <f>BaselineCalc!B18</f>
        <v>8403.3633363471963</v>
      </c>
      <c r="C2" s="2">
        <f>BaselineCalc!B19</f>
        <v>922499.99999999988</v>
      </c>
      <c r="D2" s="2">
        <f>BaselineCalc!B20</f>
        <v>999374.99999999988</v>
      </c>
      <c r="E2" s="2">
        <f>Control_Center!C22</f>
        <v>1000</v>
      </c>
      <c r="F2" s="22">
        <v>0.2</v>
      </c>
      <c r="G2" s="22">
        <v>0.75</v>
      </c>
      <c r="H2">
        <v>1</v>
      </c>
      <c r="I2" s="2">
        <f>BaselineCalc!$B$27*(1+BaselineCalc!$B$28)^(H2-1)</f>
        <v>5013</v>
      </c>
      <c r="L2" s="5">
        <v>1000</v>
      </c>
      <c r="M2" s="5">
        <v>0.4</v>
      </c>
      <c r="N2" s="5">
        <v>0.4</v>
      </c>
      <c r="O2" s="2">
        <f>Parameters_Public!$C$17*I2</f>
        <v>751.94999999999993</v>
      </c>
      <c r="P2">
        <f>Parameters_Public!$C$21*(1+Parameters_Public!$C22)^(H2-1)</f>
        <v>5200</v>
      </c>
      <c r="Q2">
        <f>Parameters_Public!$C47*E2</f>
        <v>200</v>
      </c>
      <c r="R2">
        <f>Parameters_Public!$C49*P2</f>
        <v>4420</v>
      </c>
    </row>
    <row r="3" spans="1:18" x14ac:dyDescent="0.35">
      <c r="A3" t="s">
        <v>188</v>
      </c>
      <c r="B3" s="2">
        <f>BaselineCalc!C18</f>
        <v>8613.4474197558757</v>
      </c>
      <c r="C3" s="2">
        <f>BaselineCalc!C19</f>
        <v>915497.14624773955</v>
      </c>
      <c r="D3" s="2">
        <f>BaselineCalc!C20</f>
        <v>1054424.7287522603</v>
      </c>
      <c r="E3" s="2">
        <f>Control_Center!C23</f>
        <v>800</v>
      </c>
      <c r="F3" s="22">
        <v>0.2</v>
      </c>
      <c r="G3" s="22">
        <v>0.7</v>
      </c>
      <c r="H3">
        <v>2</v>
      </c>
      <c r="I3" s="2">
        <f>BaselineCalc!$B$27*(1+BaselineCalc!$B$28)^(H3-1)</f>
        <v>5138.3249999999998</v>
      </c>
      <c r="L3" s="5">
        <v>800</v>
      </c>
      <c r="M3" s="5">
        <v>0.3</v>
      </c>
      <c r="N3" s="5">
        <v>0.35</v>
      </c>
      <c r="O3" s="2">
        <f>Parameters_Public!$C$17*I3</f>
        <v>770.74874999999997</v>
      </c>
      <c r="P3">
        <f>Parameters_Public!$C$21*(1+Parameters_Public!$C22)^(H3-1)</f>
        <v>5329.9999999999991</v>
      </c>
      <c r="Q3">
        <f>Parameters_Public!$C47*E3</f>
        <v>160</v>
      </c>
      <c r="R3">
        <f>Parameters_Public!$C49*P3</f>
        <v>4530.4999999999991</v>
      </c>
    </row>
    <row r="4" spans="1:18" x14ac:dyDescent="0.35">
      <c r="A4" t="s">
        <v>189</v>
      </c>
      <c r="B4" s="2">
        <f>BaselineCalc!D18</f>
        <v>8828.7836052497714</v>
      </c>
      <c r="C4" s="2">
        <f>BaselineCalc!D19</f>
        <v>938384.57490393298</v>
      </c>
      <c r="D4" s="2">
        <f>BaselineCalc!D20</f>
        <v>1080785.3469710669</v>
      </c>
      <c r="E4" s="2">
        <f>Control_Center!C24</f>
        <v>600</v>
      </c>
      <c r="F4" s="22">
        <v>0.15</v>
      </c>
      <c r="G4" s="22">
        <v>0.65</v>
      </c>
      <c r="H4">
        <v>3</v>
      </c>
      <c r="I4" s="2">
        <f>BaselineCalc!$B$27*(1+BaselineCalc!$B$28)^(H4-1)</f>
        <v>5266.7831249999999</v>
      </c>
      <c r="L4" s="5">
        <v>600</v>
      </c>
      <c r="M4" s="5">
        <v>0.2</v>
      </c>
      <c r="N4" s="5">
        <v>0.3</v>
      </c>
      <c r="O4" s="2">
        <f>Parameters_Public!$C$17*I4</f>
        <v>790.01746874999992</v>
      </c>
      <c r="P4">
        <f>Parameters_Public!$C$21*(1+Parameters_Public!$C22)^(H4-1)</f>
        <v>5463.25</v>
      </c>
      <c r="Q4">
        <f>Parameters_Public!$C47*E4</f>
        <v>120</v>
      </c>
      <c r="R4">
        <f>Parameters_Public!$C49*P4</f>
        <v>4643.7624999999998</v>
      </c>
    </row>
    <row r="5" spans="1:18" x14ac:dyDescent="0.35">
      <c r="A5" t="s">
        <v>190</v>
      </c>
      <c r="B5" s="2">
        <f>BaselineCalc!E18</f>
        <v>9049.5031953810158</v>
      </c>
      <c r="C5" s="2">
        <f>BaselineCalc!E19</f>
        <v>961844.18927653122</v>
      </c>
      <c r="D5" s="2">
        <f>BaselineCalc!E20</f>
        <v>1107804.9806453434</v>
      </c>
      <c r="E5" s="2">
        <f>Control_Center!C25</f>
        <v>500</v>
      </c>
      <c r="F5" s="22">
        <v>0.1</v>
      </c>
      <c r="G5" s="22">
        <v>0.6</v>
      </c>
      <c r="H5">
        <v>4</v>
      </c>
      <c r="I5" s="2">
        <f>BaselineCalc!$B$27*(1+BaselineCalc!$B$28)^(H5-1)</f>
        <v>5398.4527031249991</v>
      </c>
      <c r="L5" s="5">
        <v>400</v>
      </c>
      <c r="M5" s="5">
        <v>0.1</v>
      </c>
      <c r="N5" s="5">
        <v>0.25</v>
      </c>
      <c r="O5" s="2">
        <f>Parameters_Public!$C$17*I5</f>
        <v>809.76790546874986</v>
      </c>
      <c r="P5">
        <f>Parameters_Public!$C$21*(1+Parameters_Public!$C22)^(H5-1)</f>
        <v>5599.8312499999993</v>
      </c>
      <c r="Q5">
        <f>Parameters_Public!$C47*E5</f>
        <v>100</v>
      </c>
      <c r="R5">
        <f>Parameters_Public!$C49*P5</f>
        <v>4759.8565624999992</v>
      </c>
    </row>
    <row r="6" spans="1:18" x14ac:dyDescent="0.35">
      <c r="A6" t="s">
        <v>102</v>
      </c>
      <c r="B6" s="2">
        <f>BaselineCalc!F18</f>
        <v>9275.7407752655399</v>
      </c>
      <c r="C6" s="2">
        <f>BaselineCalc!F19</f>
        <v>985890.29400844453</v>
      </c>
      <c r="D6" s="2">
        <f>BaselineCalc!F20</f>
        <v>1135500.1051614769</v>
      </c>
      <c r="E6" s="2">
        <f>Control_Center!C26</f>
        <v>300</v>
      </c>
      <c r="F6" s="22">
        <v>0.1</v>
      </c>
      <c r="G6" s="22">
        <v>0.6</v>
      </c>
      <c r="H6">
        <v>5</v>
      </c>
      <c r="I6" s="2">
        <f>BaselineCalc!$B$27*(1+BaselineCalc!$B$28)^(H6-1)</f>
        <v>5533.4140207031242</v>
      </c>
      <c r="L6" s="5">
        <v>300</v>
      </c>
      <c r="M6" s="5">
        <v>0</v>
      </c>
      <c r="N6" s="5">
        <v>0.2</v>
      </c>
      <c r="O6" s="2">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9"/>
  <sheetViews>
    <sheetView topLeftCell="A4" zoomScale="85" zoomScaleNormal="85" workbookViewId="0">
      <selection activeCell="F19" sqref="F19"/>
    </sheetView>
  </sheetViews>
  <sheetFormatPr defaultRowHeight="14.5" x14ac:dyDescent="0.35"/>
  <cols>
    <col min="2" max="2" width="59.1796875" bestFit="1" customWidth="1"/>
    <col min="3" max="4" width="7.90625" bestFit="1" customWidth="1"/>
  </cols>
  <sheetData>
    <row r="1" spans="1:5" x14ac:dyDescent="0.35">
      <c r="B1" s="4" t="s">
        <v>819</v>
      </c>
    </row>
    <row r="3" spans="1:5" ht="45" customHeight="1" x14ac:dyDescent="0.35">
      <c r="A3" s="92" t="s">
        <v>93</v>
      </c>
      <c r="B3" s="157" t="s">
        <v>820</v>
      </c>
      <c r="C3" s="136"/>
      <c r="D3" s="136"/>
    </row>
    <row r="4" spans="1:5" x14ac:dyDescent="0.35">
      <c r="E4" s="4" t="s">
        <v>93</v>
      </c>
    </row>
    <row r="5" spans="1:5" x14ac:dyDescent="0.35">
      <c r="B5" t="s">
        <v>821</v>
      </c>
      <c r="C5" s="91">
        <v>505000</v>
      </c>
    </row>
    <row r="6" spans="1:5" x14ac:dyDescent="0.35">
      <c r="B6" t="s">
        <v>822</v>
      </c>
      <c r="C6">
        <v>0</v>
      </c>
      <c r="E6" t="s">
        <v>598</v>
      </c>
    </row>
    <row r="7" spans="1:5" x14ac:dyDescent="0.35">
      <c r="B7" t="s">
        <v>823</v>
      </c>
      <c r="C7" s="91">
        <v>45000</v>
      </c>
    </row>
    <row r="8" spans="1:5" x14ac:dyDescent="0.35">
      <c r="B8" t="s">
        <v>824</v>
      </c>
      <c r="C8" s="91">
        <v>350000</v>
      </c>
    </row>
    <row r="9" spans="1:5" x14ac:dyDescent="0.35">
      <c r="B9" t="s">
        <v>825</v>
      </c>
      <c r="C9">
        <v>0</v>
      </c>
    </row>
    <row r="10" spans="1:5" x14ac:dyDescent="0.35">
      <c r="B10" t="s">
        <v>826</v>
      </c>
      <c r="D10" s="90">
        <f>SUM(C5:C9)</f>
        <v>900000</v>
      </c>
      <c r="E10" t="s">
        <v>827</v>
      </c>
    </row>
    <row r="12" spans="1:5" x14ac:dyDescent="0.35">
      <c r="B12" t="s">
        <v>828</v>
      </c>
      <c r="C12" s="91">
        <v>576000</v>
      </c>
    </row>
    <row r="13" spans="1:5" x14ac:dyDescent="0.35">
      <c r="B13" t="s">
        <v>829</v>
      </c>
      <c r="C13">
        <v>0</v>
      </c>
      <c r="E13" t="s">
        <v>598</v>
      </c>
    </row>
    <row r="14" spans="1:5" x14ac:dyDescent="0.35">
      <c r="B14" t="s">
        <v>830</v>
      </c>
      <c r="C14" s="91">
        <v>49000</v>
      </c>
    </row>
    <row r="15" spans="1:5" x14ac:dyDescent="0.35">
      <c r="B15" t="s">
        <v>831</v>
      </c>
      <c r="C15" s="91">
        <v>350000</v>
      </c>
    </row>
    <row r="16" spans="1:5" x14ac:dyDescent="0.35">
      <c r="B16" t="s">
        <v>832</v>
      </c>
      <c r="C16">
        <v>0</v>
      </c>
    </row>
    <row r="17" spans="1:5" x14ac:dyDescent="0.35">
      <c r="B17" t="s">
        <v>833</v>
      </c>
      <c r="D17" s="90">
        <f>SUM(C12:C16)</f>
        <v>975000</v>
      </c>
      <c r="E17" t="s">
        <v>834</v>
      </c>
    </row>
    <row r="19" spans="1:5" ht="192" customHeight="1" x14ac:dyDescent="0.35">
      <c r="A19" s="93" t="s">
        <v>44</v>
      </c>
      <c r="B19" s="157" t="s">
        <v>835</v>
      </c>
      <c r="C19" s="136"/>
      <c r="D19" s="136"/>
    </row>
  </sheetData>
  <mergeCells count="2">
    <mergeCell ref="B3:D3"/>
    <mergeCell ref="B19:D19"/>
  </mergeCells>
  <pageMargins left="0.75" right="0.75" top="1" bottom="1"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5"/>
  <sheetViews>
    <sheetView workbookViewId="0"/>
  </sheetViews>
  <sheetFormatPr defaultRowHeight="14.5" x14ac:dyDescent="0.35"/>
  <cols>
    <col min="1" max="1" width="44" customWidth="1"/>
    <col min="2" max="2" width="22" customWidth="1"/>
  </cols>
  <sheetData>
    <row r="1" spans="1:2" x14ac:dyDescent="0.35">
      <c r="A1" s="23" t="s">
        <v>836</v>
      </c>
    </row>
    <row r="2" spans="1:2" x14ac:dyDescent="0.35">
      <c r="A2" t="s">
        <v>837</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x14ac:dyDescent="0.35">
      <c r="A3" t="s">
        <v>838</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x14ac:dyDescent="0.35">
      <c r="A4" t="s">
        <v>839</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x14ac:dyDescent="0.35">
      <c r="A5" t="s">
        <v>840</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20"/>
  <sheetViews>
    <sheetView workbookViewId="0">
      <selection activeCell="A2" sqref="A2"/>
    </sheetView>
  </sheetViews>
  <sheetFormatPr defaultRowHeight="14.5" x14ac:dyDescent="0.35"/>
  <cols>
    <col min="1" max="1" width="15" bestFit="1" customWidth="1"/>
    <col min="2" max="2" width="16.36328125" bestFit="1" customWidth="1"/>
    <col min="3" max="3" width="9.7265625" bestFit="1" customWidth="1"/>
    <col min="4" max="4" width="20.26953125" bestFit="1" customWidth="1"/>
  </cols>
  <sheetData>
    <row r="1" spans="1:5" x14ac:dyDescent="0.35">
      <c r="A1" s="52" t="s">
        <v>841</v>
      </c>
      <c r="B1" s="52" t="s">
        <v>842</v>
      </c>
      <c r="C1" s="52" t="s">
        <v>843</v>
      </c>
      <c r="D1" s="52" t="s">
        <v>844</v>
      </c>
      <c r="E1" s="52" t="s">
        <v>845</v>
      </c>
    </row>
    <row r="2" spans="1:5" x14ac:dyDescent="0.35">
      <c r="A2" t="s">
        <v>846</v>
      </c>
      <c r="B2" t="s">
        <v>387</v>
      </c>
      <c r="C2" t="s">
        <v>847</v>
      </c>
      <c r="D2" t="s">
        <v>846</v>
      </c>
      <c r="E2" t="s">
        <v>848</v>
      </c>
    </row>
    <row r="3" spans="1:5" x14ac:dyDescent="0.35">
      <c r="A3" t="s">
        <v>849</v>
      </c>
      <c r="B3" t="s">
        <v>380</v>
      </c>
      <c r="C3" t="s">
        <v>850</v>
      </c>
      <c r="D3" t="s">
        <v>849</v>
      </c>
      <c r="E3" t="s">
        <v>851</v>
      </c>
    </row>
    <row r="4" spans="1:5" x14ac:dyDescent="0.35">
      <c r="A4" t="s">
        <v>852</v>
      </c>
      <c r="B4" t="s">
        <v>853</v>
      </c>
      <c r="C4" t="s">
        <v>854</v>
      </c>
      <c r="D4" t="s">
        <v>852</v>
      </c>
      <c r="E4" t="s">
        <v>855</v>
      </c>
    </row>
    <row r="5" spans="1:5" x14ac:dyDescent="0.35">
      <c r="A5" t="s">
        <v>856</v>
      </c>
      <c r="B5" t="s">
        <v>387</v>
      </c>
      <c r="C5" t="s">
        <v>857</v>
      </c>
      <c r="D5" t="s">
        <v>856</v>
      </c>
      <c r="E5" t="s">
        <v>858</v>
      </c>
    </row>
    <row r="6" spans="1:5" x14ac:dyDescent="0.35">
      <c r="A6" t="s">
        <v>859</v>
      </c>
      <c r="B6" t="s">
        <v>387</v>
      </c>
      <c r="C6" t="s">
        <v>860</v>
      </c>
      <c r="D6" t="s">
        <v>859</v>
      </c>
      <c r="E6" t="s">
        <v>861</v>
      </c>
    </row>
    <row r="7" spans="1:5" x14ac:dyDescent="0.35">
      <c r="A7" t="s">
        <v>862</v>
      </c>
      <c r="B7" t="s">
        <v>387</v>
      </c>
      <c r="C7" t="s">
        <v>863</v>
      </c>
      <c r="D7" t="s">
        <v>862</v>
      </c>
      <c r="E7" t="s">
        <v>864</v>
      </c>
    </row>
    <row r="8" spans="1:5" x14ac:dyDescent="0.35">
      <c r="A8" t="s">
        <v>260</v>
      </c>
      <c r="B8" t="s">
        <v>387</v>
      </c>
      <c r="C8" t="s">
        <v>865</v>
      </c>
      <c r="D8" t="s">
        <v>260</v>
      </c>
      <c r="E8" t="s">
        <v>866</v>
      </c>
    </row>
    <row r="9" spans="1:5" x14ac:dyDescent="0.35">
      <c r="A9" t="s">
        <v>437</v>
      </c>
      <c r="B9" t="s">
        <v>387</v>
      </c>
      <c r="C9" t="s">
        <v>867</v>
      </c>
      <c r="D9" t="s">
        <v>437</v>
      </c>
      <c r="E9" t="s">
        <v>868</v>
      </c>
    </row>
    <row r="10" spans="1:5" x14ac:dyDescent="0.35">
      <c r="A10" t="s">
        <v>441</v>
      </c>
      <c r="B10" t="s">
        <v>387</v>
      </c>
      <c r="C10" t="s">
        <v>869</v>
      </c>
      <c r="D10" t="s">
        <v>441</v>
      </c>
      <c r="E10" t="s">
        <v>870</v>
      </c>
    </row>
    <row r="11" spans="1:5" x14ac:dyDescent="0.35">
      <c r="A11" t="s">
        <v>453</v>
      </c>
      <c r="B11" t="s">
        <v>387</v>
      </c>
      <c r="C11" t="s">
        <v>871</v>
      </c>
      <c r="D11" t="s">
        <v>453</v>
      </c>
      <c r="E11" t="s">
        <v>872</v>
      </c>
    </row>
    <row r="12" spans="1:5" x14ac:dyDescent="0.35">
      <c r="A12" t="s">
        <v>873</v>
      </c>
      <c r="B12" t="s">
        <v>387</v>
      </c>
      <c r="C12" t="s">
        <v>874</v>
      </c>
      <c r="D12" t="s">
        <v>873</v>
      </c>
      <c r="E12" t="s">
        <v>875</v>
      </c>
    </row>
    <row r="13" spans="1:5" x14ac:dyDescent="0.35">
      <c r="A13" t="s">
        <v>876</v>
      </c>
      <c r="B13" t="s">
        <v>387</v>
      </c>
      <c r="C13" t="s">
        <v>877</v>
      </c>
      <c r="D13" t="s">
        <v>876</v>
      </c>
      <c r="E13" t="s">
        <v>878</v>
      </c>
    </row>
    <row r="14" spans="1:5" x14ac:dyDescent="0.35">
      <c r="A14" t="s">
        <v>194</v>
      </c>
      <c r="B14" t="s">
        <v>387</v>
      </c>
      <c r="C14" t="s">
        <v>879</v>
      </c>
      <c r="D14" t="s">
        <v>194</v>
      </c>
      <c r="E14" t="s">
        <v>880</v>
      </c>
    </row>
    <row r="15" spans="1:5" x14ac:dyDescent="0.35">
      <c r="A15" t="s">
        <v>881</v>
      </c>
      <c r="B15" t="s">
        <v>387</v>
      </c>
      <c r="C15" t="s">
        <v>882</v>
      </c>
      <c r="D15" t="s">
        <v>881</v>
      </c>
      <c r="E15" t="s">
        <v>883</v>
      </c>
    </row>
    <row r="16" spans="1:5" x14ac:dyDescent="0.35">
      <c r="A16" t="s">
        <v>884</v>
      </c>
      <c r="B16" t="s">
        <v>387</v>
      </c>
      <c r="C16" t="s">
        <v>885</v>
      </c>
      <c r="D16" t="s">
        <v>884</v>
      </c>
      <c r="E16" t="s">
        <v>886</v>
      </c>
    </row>
    <row r="17" spans="1:5" x14ac:dyDescent="0.35">
      <c r="A17" t="s">
        <v>887</v>
      </c>
      <c r="B17" t="s">
        <v>387</v>
      </c>
      <c r="C17" t="s">
        <v>888</v>
      </c>
      <c r="D17" t="s">
        <v>887</v>
      </c>
      <c r="E17" t="s">
        <v>889</v>
      </c>
    </row>
    <row r="18" spans="1:5" x14ac:dyDescent="0.35">
      <c r="A18" t="s">
        <v>446</v>
      </c>
      <c r="B18" t="s">
        <v>380</v>
      </c>
      <c r="C18" t="s">
        <v>890</v>
      </c>
      <c r="D18" t="s">
        <v>446</v>
      </c>
      <c r="E18" t="s">
        <v>891</v>
      </c>
    </row>
    <row r="19" spans="1:5" x14ac:dyDescent="0.35">
      <c r="A19" t="s">
        <v>892</v>
      </c>
      <c r="B19" t="s">
        <v>380</v>
      </c>
      <c r="C19" t="s">
        <v>893</v>
      </c>
      <c r="D19" t="s">
        <v>892</v>
      </c>
      <c r="E19" t="s">
        <v>894</v>
      </c>
    </row>
    <row r="20" spans="1:5" x14ac:dyDescent="0.35">
      <c r="A20" t="s">
        <v>895</v>
      </c>
      <c r="B20" t="s">
        <v>380</v>
      </c>
      <c r="C20" t="s">
        <v>896</v>
      </c>
      <c r="D20" t="s">
        <v>895</v>
      </c>
      <c r="E20" t="s">
        <v>897</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14"/>
  <sheetViews>
    <sheetView workbookViewId="0">
      <selection activeCell="B14" sqref="B14"/>
    </sheetView>
  </sheetViews>
  <sheetFormatPr defaultRowHeight="14.5" x14ac:dyDescent="0.35"/>
  <cols>
    <col min="1" max="1" width="28.6328125" bestFit="1" customWidth="1"/>
  </cols>
  <sheetData>
    <row r="1" spans="1:6" x14ac:dyDescent="0.35">
      <c r="A1" t="s">
        <v>898</v>
      </c>
    </row>
    <row r="2" spans="1:6" x14ac:dyDescent="0.35">
      <c r="A2" t="s">
        <v>184</v>
      </c>
      <c r="B2" t="s">
        <v>187</v>
      </c>
      <c r="C2" t="s">
        <v>188</v>
      </c>
      <c r="D2" t="s">
        <v>189</v>
      </c>
      <c r="E2" t="s">
        <v>190</v>
      </c>
      <c r="F2" t="s">
        <v>102</v>
      </c>
    </row>
    <row r="3" spans="1:6" x14ac:dyDescent="0.35">
      <c r="A3" t="s">
        <v>899</v>
      </c>
      <c r="B3">
        <f>Parameters_Public!$C$52</f>
        <v>10000</v>
      </c>
    </row>
    <row r="4" spans="1:6" x14ac:dyDescent="0.35">
      <c r="A4" t="s">
        <v>900</v>
      </c>
      <c r="B4">
        <f>Parameters_Public!$C$53</f>
        <v>31</v>
      </c>
    </row>
    <row r="5" spans="1:6" x14ac:dyDescent="0.35">
      <c r="A5" t="s">
        <v>901</v>
      </c>
      <c r="B5">
        <f>Parameters_Public!$C$54</f>
        <v>4</v>
      </c>
    </row>
    <row r="6" spans="1:6" x14ac:dyDescent="0.35">
      <c r="A6" t="s">
        <v>317</v>
      </c>
      <c r="B6">
        <f>Parameters_Public!$C$55</f>
        <v>2026</v>
      </c>
    </row>
    <row r="9" spans="1:6" x14ac:dyDescent="0.35">
      <c r="A9" t="s">
        <v>902</v>
      </c>
      <c r="B9">
        <f>Parameters_Public!$C$56</f>
        <v>0.5</v>
      </c>
      <c r="C9">
        <f>Parameters_Public!$C$57</f>
        <v>0.7</v>
      </c>
      <c r="D9">
        <f>Parameters_Public!$C$58</f>
        <v>0.8</v>
      </c>
      <c r="E9">
        <f>Parameters_Public!$C$59</f>
        <v>0.9</v>
      </c>
      <c r="F9">
        <f>Parameters_Public!$C$60</f>
        <v>1</v>
      </c>
    </row>
    <row r="11" spans="1:6" x14ac:dyDescent="0.35">
      <c r="A11" t="s">
        <v>903</v>
      </c>
      <c r="B11" s="2">
        <f>$B$3*$B$4*B9</f>
        <v>155000</v>
      </c>
      <c r="C11" s="2">
        <f>$B$3*$B$4*C9</f>
        <v>217000</v>
      </c>
      <c r="D11" s="2">
        <f>$B$3*$B$4*D9</f>
        <v>248000</v>
      </c>
      <c r="E11" s="2">
        <f>$B$3*$B$4*E9</f>
        <v>279000</v>
      </c>
      <c r="F11" s="2">
        <f>$B$3*$B$4*F9</f>
        <v>310000</v>
      </c>
    </row>
    <row r="12" spans="1:6" x14ac:dyDescent="0.35">
      <c r="A12" t="s">
        <v>904</v>
      </c>
      <c r="B12" s="2">
        <f>Parameters_Public!$C$52*Parameters_Public!$C$53*(Parameters_Public!$C$61/12)*B9</f>
        <v>77500</v>
      </c>
      <c r="C12" s="2">
        <f>$B$3*$B$4*(Parameters_Public!$C$61/12)*C9</f>
        <v>108500</v>
      </c>
      <c r="D12" s="2">
        <f>$B$3*$B$4*(Parameters_Public!$C$61/12)*D9</f>
        <v>124000</v>
      </c>
      <c r="E12" s="2">
        <f>$B$3*$B$4*(Parameters_Public!$C$61/12)*E9</f>
        <v>139500</v>
      </c>
      <c r="F12" s="2">
        <f>$B$3*$B$4*(Parameters_Public!$C$61/12)*F9</f>
        <v>155000</v>
      </c>
    </row>
    <row r="13" spans="1:6" x14ac:dyDescent="0.35">
      <c r="A13" t="s">
        <v>905</v>
      </c>
      <c r="B13" s="2">
        <f>Parameters_Public!$C$62</f>
        <v>0</v>
      </c>
      <c r="C13" s="2">
        <v>0</v>
      </c>
      <c r="D13" s="2">
        <v>0</v>
      </c>
      <c r="E13" s="2">
        <v>0</v>
      </c>
      <c r="F13" s="2">
        <v>0</v>
      </c>
    </row>
    <row r="14" spans="1:6" x14ac:dyDescent="0.35">
      <c r="A14" t="s">
        <v>906</v>
      </c>
      <c r="B14" s="2">
        <f>MAX(0,B11-B12-B13)</f>
        <v>77500</v>
      </c>
      <c r="C14" s="2">
        <f>MAX(0,C11-C12-C13)</f>
        <v>108500</v>
      </c>
      <c r="D14" s="2">
        <f>MAX(0,D11-D12-D13)</f>
        <v>124000</v>
      </c>
      <c r="E14" s="2">
        <f>MAX(0,E11-E12-E13)</f>
        <v>139500</v>
      </c>
      <c r="F14" s="2">
        <f>MAX(0,F11-F12-F13)</f>
        <v>155000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22"/>
  <sheetViews>
    <sheetView topLeftCell="A7" workbookViewId="0">
      <selection activeCell="B15" sqref="B15"/>
    </sheetView>
  </sheetViews>
  <sheetFormatPr defaultRowHeight="14.5" x14ac:dyDescent="0.35"/>
  <cols>
    <col min="1" max="1" width="32.453125" bestFit="1" customWidth="1"/>
  </cols>
  <sheetData>
    <row r="1" spans="1:6" x14ac:dyDescent="0.35">
      <c r="A1" t="s">
        <v>907</v>
      </c>
    </row>
    <row r="2" spans="1:6" x14ac:dyDescent="0.35">
      <c r="A2" t="s">
        <v>184</v>
      </c>
      <c r="B2" t="s">
        <v>187</v>
      </c>
      <c r="C2" t="s">
        <v>188</v>
      </c>
      <c r="D2" t="s">
        <v>189</v>
      </c>
      <c r="E2" t="s">
        <v>190</v>
      </c>
      <c r="F2" t="s">
        <v>102</v>
      </c>
    </row>
    <row r="4" spans="1:6" x14ac:dyDescent="0.35">
      <c r="A4" t="s">
        <v>327</v>
      </c>
      <c r="B4">
        <f>Parameters_Public!$C$66</f>
        <v>2</v>
      </c>
    </row>
    <row r="5" spans="1:6" x14ac:dyDescent="0.35">
      <c r="A5" t="s">
        <v>328</v>
      </c>
      <c r="B5">
        <f>Parameters_Public!$C$67</f>
        <v>18</v>
      </c>
    </row>
    <row r="6" spans="1:6" x14ac:dyDescent="0.35">
      <c r="A6" t="s">
        <v>329</v>
      </c>
      <c r="B6">
        <f>Parameters_Public!$C$68</f>
        <v>0.85</v>
      </c>
    </row>
    <row r="7" spans="1:6" x14ac:dyDescent="0.35">
      <c r="A7" t="s">
        <v>330</v>
      </c>
      <c r="B7" s="2">
        <f>Parameters_Public!$C$69</f>
        <v>800</v>
      </c>
    </row>
    <row r="8" spans="1:6" x14ac:dyDescent="0.35">
      <c r="A8" t="s">
        <v>331</v>
      </c>
      <c r="B8">
        <f>Parameters_Public!$C$70</f>
        <v>10</v>
      </c>
    </row>
    <row r="9" spans="1:6" x14ac:dyDescent="0.35">
      <c r="A9" t="s">
        <v>908</v>
      </c>
      <c r="B9" s="2">
        <f>Parameters_Public!$C$71</f>
        <v>120000</v>
      </c>
    </row>
    <row r="11" spans="1:6" x14ac:dyDescent="0.35">
      <c r="A11" t="s">
        <v>333</v>
      </c>
      <c r="B11">
        <f>Parameters_Public!$C$72</f>
        <v>0</v>
      </c>
    </row>
    <row r="12" spans="1:6" x14ac:dyDescent="0.35">
      <c r="A12" t="s">
        <v>334</v>
      </c>
      <c r="B12">
        <f>Parameters_Public!$C$73</f>
        <v>36</v>
      </c>
    </row>
    <row r="13" spans="1:6" x14ac:dyDescent="0.35">
      <c r="A13" t="s">
        <v>335</v>
      </c>
      <c r="B13">
        <f>Parameters_Public!$C$74</f>
        <v>10</v>
      </c>
    </row>
    <row r="14" spans="1:6" x14ac:dyDescent="0.35">
      <c r="A14" t="s">
        <v>909</v>
      </c>
      <c r="B14">
        <f>Parameters_Public!$C$75</f>
        <v>0</v>
      </c>
    </row>
    <row r="15" spans="1:6" x14ac:dyDescent="0.35">
      <c r="A15" t="s">
        <v>910</v>
      </c>
      <c r="B15" s="2">
        <f>$B$4*$B$5*$B$6*$B$7*$B$8</f>
        <v>244800</v>
      </c>
      <c r="C15" s="2">
        <f>$B$4*$B$5*$B$6*$B$7*$B$8</f>
        <v>244800</v>
      </c>
      <c r="D15" s="2">
        <f>$B$4*$B$5*$B$6*$B$7*$B$8</f>
        <v>244800</v>
      </c>
      <c r="E15" s="2">
        <f>$B$4*$B$5*$B$6*$B$7*$B$8</f>
        <v>244800</v>
      </c>
      <c r="F15" s="2">
        <f>$B$4*$B$5*$B$6*$B$7*$B$8</f>
        <v>244800</v>
      </c>
    </row>
    <row r="16" spans="1:6" x14ac:dyDescent="0.35">
      <c r="A16" t="s">
        <v>911</v>
      </c>
      <c r="B16" s="2">
        <f>$B$4*$B$9</f>
        <v>240000</v>
      </c>
      <c r="C16" s="2">
        <f>$B$4*$B$9</f>
        <v>240000</v>
      </c>
      <c r="D16" s="2">
        <f>$B$4*$B$9</f>
        <v>240000</v>
      </c>
      <c r="E16" s="2">
        <f>$B$4*$B$9</f>
        <v>240000</v>
      </c>
      <c r="F16" s="2">
        <f>$B$4*$B$9</f>
        <v>240000</v>
      </c>
    </row>
    <row r="17" spans="1:6" x14ac:dyDescent="0.35">
      <c r="A17" t="s">
        <v>912</v>
      </c>
      <c r="B17" s="2">
        <f>B15-B16</f>
        <v>4800</v>
      </c>
      <c r="C17" s="2">
        <f>C15-C16</f>
        <v>4800</v>
      </c>
      <c r="D17" s="2">
        <f>D15-D16</f>
        <v>4800</v>
      </c>
      <c r="E17" s="2">
        <f>E15-E16</f>
        <v>4800</v>
      </c>
      <c r="F17" s="2">
        <f>F15-F16</f>
        <v>4800</v>
      </c>
    </row>
    <row r="19" spans="1:6" x14ac:dyDescent="0.35">
      <c r="A19" t="s">
        <v>913</v>
      </c>
      <c r="B19">
        <f>$B$11*$B$12*$B$13</f>
        <v>0</v>
      </c>
      <c r="C19">
        <f>$B$11*$B$12*$B$13</f>
        <v>0</v>
      </c>
      <c r="D19">
        <f>$B$11*$B$12*$B$13</f>
        <v>0</v>
      </c>
      <c r="E19">
        <f>$B$11*$B$12*$B$13</f>
        <v>0</v>
      </c>
      <c r="F19">
        <f>$B$11*$B$12*$B$13</f>
        <v>0</v>
      </c>
    </row>
    <row r="20" spans="1:6" x14ac:dyDescent="0.35">
      <c r="A20" t="s">
        <v>914</v>
      </c>
      <c r="B20">
        <f>MAX(0,B19-$B$14)</f>
        <v>0</v>
      </c>
      <c r="C20">
        <f>MAX(0,C19-$B$14)</f>
        <v>0</v>
      </c>
      <c r="D20">
        <f>MAX(0,D19-$B$14)</f>
        <v>0</v>
      </c>
      <c r="E20">
        <f>MAX(0,E19-$B$14)</f>
        <v>0</v>
      </c>
      <c r="F20">
        <f>MAX(0,F19-$B$14)</f>
        <v>0</v>
      </c>
    </row>
    <row r="22" spans="1:6" x14ac:dyDescent="0.35">
      <c r="A22" t="s">
        <v>915</v>
      </c>
      <c r="B22" s="2">
        <f>B17+B20</f>
        <v>4800</v>
      </c>
      <c r="C22" s="2">
        <f>C17+C20</f>
        <v>4800</v>
      </c>
      <c r="D22" s="2">
        <f>D17+D20</f>
        <v>4800</v>
      </c>
      <c r="E22" s="2">
        <f>E17+E20</f>
        <v>4800</v>
      </c>
      <c r="F22" s="2">
        <f>F17+F20</f>
        <v>4800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30</vt:i4>
      </vt:variant>
    </vt:vector>
  </HeadingPairs>
  <TitlesOfParts>
    <vt:vector size="53" baseType="lpstr">
      <vt:lpstr>Workbook_Purpose_Overview</vt:lpstr>
      <vt:lpstr>How_To_Use_The_Workbook</vt:lpstr>
      <vt:lpstr>Headline_Numbers</vt:lpstr>
      <vt:lpstr>Dashboard</vt:lpstr>
      <vt:lpstr>Working_test</vt:lpstr>
      <vt:lpstr>Scenario_Comparison</vt:lpstr>
      <vt:lpstr>Budget_Neutral_Calculator</vt:lpstr>
      <vt:lpstr>Summary_Figures</vt:lpstr>
      <vt:lpstr>What_Is_The_$900K-$1M_Savings</vt:lpstr>
      <vt:lpstr>Parameters_Public</vt:lpstr>
      <vt:lpstr>Inputs_Definitions_Sources</vt:lpstr>
      <vt:lpstr>Scenarios</vt:lpstr>
      <vt:lpstr>MultiYear_ProForma</vt:lpstr>
      <vt:lpstr>Capital_Summary</vt:lpstr>
      <vt:lpstr>Receiving_Capacity</vt:lpstr>
      <vt:lpstr>Control_Center</vt:lpstr>
      <vt:lpstr>BaselineCalc</vt:lpstr>
      <vt:lpstr>YearMap</vt:lpstr>
      <vt:lpstr>Site_Fixed</vt:lpstr>
      <vt:lpstr>QA_Checks</vt:lpstr>
      <vt:lpstr>Parameters_Map</vt:lpstr>
      <vt:lpstr>Lease_Avoidance</vt:lpstr>
      <vt:lpstr>Pre_K</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2025-11-18T00:02:43Z</dcterms:modified>
</cp:coreProperties>
</file>